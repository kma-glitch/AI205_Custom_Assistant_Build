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MarketingA_Channel_Performan" sheetId="1" r:id="rId5"/>
    <sheet state="visible" name="Pivot Table 3" sheetId="2" r:id="rId6"/>
  </sheets>
  <definedNames>
    <definedName hidden="1" localSheetId="0" name="_xlnm._FilterDatabase">GT_MarketingA_Channel_Performan!$A$1:$K$121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<sst xmlns="http://schemas.openxmlformats.org/spreadsheetml/2006/main" count="385" uniqueCount="27">
  <si>
    <t>Channel</t>
  </si>
  <si>
    <t>SUM of Spend_USD</t>
  </si>
  <si>
    <t>Date</t>
  </si>
  <si>
    <t>SUM of Impressions</t>
  </si>
  <si>
    <t>SUM of Clicks</t>
  </si>
  <si>
    <t>SUM of Conversions</t>
  </si>
  <si>
    <t>SUM of Revenue_USD</t>
  </si>
  <si>
    <t>ROAS</t>
  </si>
  <si>
    <t>Cost Per Conversion</t>
  </si>
  <si>
    <t>Conversion Rate</t>
  </si>
  <si>
    <t>Email</t>
  </si>
  <si>
    <t>Market</t>
  </si>
  <si>
    <t>Campaign</t>
  </si>
  <si>
    <t>Spend_USD</t>
  </si>
  <si>
    <t>Impressions</t>
  </si>
  <si>
    <t>Clicks</t>
  </si>
  <si>
    <t>Conversions</t>
  </si>
  <si>
    <t>Revenue_USD</t>
  </si>
  <si>
    <t>Column 11</t>
  </si>
  <si>
    <t>Facebook</t>
  </si>
  <si>
    <t>Austin</t>
  </si>
  <si>
    <t>Google Ads</t>
  </si>
  <si>
    <t>ATX-List-Launch</t>
  </si>
  <si>
    <t>Instagram</t>
  </si>
  <si>
    <t>Grand Total</t>
  </si>
  <si>
    <t>ATX-Launch-Social</t>
  </si>
  <si>
    <t>ATX-Search-Brand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</si>
</sst>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Font="1" applyNumberFormat="1"/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2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0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2" fontId="1" numFmtId="2" xfId="0" applyFill="1" applyFont="1" applyNumberFormat="1"/>
    <xf borderId="0" fillId="0" fontId="1" numFmtId="3" xfId="0" applyAlignment="1" applyFont="1" applyNumberFormat="1">
      <alignment readingOrder="0" shrinkToFit="0" vertical="center" wrapText="0"/>
    </xf>
    <xf borderId="0" fillId="3" fontId="1" numFmtId="165" xfId="0" applyFill="1" applyFont="1" applyNumberForma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T_MarketingA_Channel_Perform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1" sheet="GT_MarketingA_Channel_Performan"/>
  </cacheSource>
  <cacheFields>
    <cacheField name="Date" numFmtId="164">
      <sharedItems containsSemiMixedTypes="0" containsDate="1" containsString="0"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</sharedItems>
    </cacheField>
    <cacheField name="Market" numFmtId="0">
      <sharedItems>
        <s v="Austin"/>
      </sharedItems>
    </cacheField>
    <cacheField name="Channel" numFmtId="0">
      <sharedItems>
        <s v="Email"/>
        <s v="Facebook"/>
        <s v="Google Ads"/>
        <s v="Instagram"/>
      </sharedItems>
    </cacheField>
    <cacheField name="Campaign" numFmtId="0">
      <sharedItems>
        <s v="ATX-List-Launch"/>
        <s v="ATX-Launch-Social"/>
        <s v="ATX-Search-Brand"/>
      </sharedItems>
    </cacheField>
    <cacheField name="Spend_USD" numFmtId="165">
      <sharedItems containsSemiMixedTypes="0" containsString="0" containsNumber="1">
        <n v="372.53"/>
        <n v="380.97"/>
        <n v="378.88"/>
        <n v="398.56"/>
        <n v="430.09"/>
        <n v="388.28"/>
        <n v="424.62"/>
        <n v="210.4"/>
        <n v="209.81"/>
        <n v="198.67"/>
        <n v="258.69"/>
        <n v="215.81"/>
        <n v="243.7"/>
        <n v="254.3"/>
        <n v="252.61"/>
        <n v="210.26"/>
        <n v="227.27"/>
        <n v="242.11"/>
        <n v="202.23"/>
        <n v="250.14"/>
        <n v="245.92"/>
        <n v="196.81"/>
        <n v="205.52"/>
        <n v="212.43"/>
        <n v="242.72"/>
        <n v="202.55"/>
        <n v="224.82"/>
        <n v="245.59"/>
        <n v="218.4"/>
        <n v="255.31"/>
        <n v="1377.97"/>
        <n v="1035.66"/>
        <n v="1303.81"/>
        <n v="1159.91"/>
        <n v="1247.74"/>
        <n v="685.41"/>
        <n v="853.62"/>
        <n v="822.66"/>
        <n v="710.18"/>
        <n v="773.02"/>
        <n v="435.91"/>
        <n v="402.97"/>
        <n v="376.56"/>
        <n v="358.61"/>
        <n v="447.55"/>
        <n v="335.36"/>
        <n v="449.05"/>
        <n v="410.56"/>
        <n v="371.38"/>
        <n v="363.09"/>
        <n v="207.13"/>
        <n v="224.12"/>
        <n v="191.85"/>
        <n v="187.25"/>
        <n v="235.77"/>
        <n v="178.83"/>
        <n v="211.27"/>
        <n v="229.73"/>
        <n v="197.96"/>
        <n v="215.09"/>
        <n v="1655.56"/>
        <n v="1715.56"/>
        <n v="1926.77"/>
        <n v="1763.02"/>
        <n v="1645.2"/>
        <n v="1208.94"/>
        <n v="1295.83"/>
        <n v="1120.32"/>
        <n v="1318.88"/>
        <n v="1032.53"/>
        <n v="605.99"/>
        <n v="518.06"/>
        <n v="644.76"/>
        <n v="556.52"/>
        <n v="680.44"/>
        <n v="663.08"/>
        <n v="587.2"/>
        <n v="518.54"/>
        <n v="541.14"/>
        <n v="689.78"/>
        <n v="319.48"/>
        <n v="354.97"/>
        <n v="360.43"/>
        <n v="298.12"/>
        <n v="338.45"/>
        <n v="324.44"/>
        <n v="328.28"/>
        <n v="306.69"/>
        <n v="313.8"/>
        <n v="367.22"/>
        <n v="2208.2"/>
        <n v="2448.91"/>
        <n v="2144.54"/>
        <n v="2212.74"/>
        <n v="2593.25"/>
        <n v="1565.08"/>
        <n v="1596.36"/>
        <n v="1450.07"/>
        <n v="1836.83"/>
        <n v="1730.69"/>
        <n v="818.93"/>
        <n v="831.8"/>
        <n v="744.56"/>
        <n v="845.04"/>
        <n v="885.62"/>
        <n v="745.7"/>
        <n v="735.22"/>
        <n v="825.38"/>
        <n v="733.03"/>
        <n v="801.24"/>
        <n v="405.69"/>
        <n v="376.75"/>
        <n v="415.19"/>
        <n v="477.55"/>
        <n v="442.19"/>
        <n v="397.98"/>
        <n v="377.6"/>
        <n v="383.07"/>
        <n v="500.32"/>
        <n v="470.46"/>
      </sharedItems>
    </cacheField>
    <cacheField name="Impressions" numFmtId="3">
      <sharedItems containsSemiMixedTypes="0" containsString="0" containsNumber="1" containsInteger="1">
        <n v="14673.0"/>
        <n v="21587.0"/>
        <n v="14238.0"/>
        <n v="25969.0"/>
        <n v="22520.0"/>
        <n v="15542.0"/>
        <n v="24433.0"/>
        <n v="7999.0"/>
        <n v="8014.0"/>
        <n v="7986.0"/>
        <n v="11205.0"/>
        <n v="10074.0"/>
        <n v="15242.0"/>
        <n v="13814.0"/>
        <n v="11441.0"/>
        <n v="11259.0"/>
        <n v="13024.0"/>
        <n v="12402.0"/>
        <n v="10729.0"/>
        <n v="10367.0"/>
        <n v="9495.0"/>
        <n v="7803.0"/>
        <n v="8221.0"/>
        <n v="12521.0"/>
        <n v="11099.0"/>
        <n v="8009.0"/>
        <n v="11778.0"/>
        <n v="11793.0"/>
        <n v="9664.0"/>
        <n v="14063.0"/>
        <n v="67226.0"/>
        <n v="39436.0"/>
        <n v="48383.0"/>
        <n v="44464.0"/>
        <n v="58497.0"/>
        <n v="26115.0"/>
        <n v="36456.0"/>
        <n v="26577.0"/>
        <n v="20708.0"/>
        <n v="25608.0"/>
        <n v="27016.0"/>
        <n v="10003.0"/>
        <n v="24150.0"/>
        <n v="14807.0"/>
        <n v="15874.0"/>
        <n v="8524.0"/>
        <n v="18803.0"/>
        <n v="18283.0"/>
        <n v="15287.0"/>
        <n v="10353.0"/>
        <n v="5032.0"/>
        <n v="7633.0"/>
        <n v="5948.0"/>
        <n v="4561.0"/>
        <n v="5995.0"/>
        <n v="8621.0"/>
        <n v="7491.0"/>
        <n v="6605.0"/>
        <n v="8534.0"/>
        <n v="9203.0"/>
        <n v="35375.0"/>
        <n v="58524.0"/>
        <n v="59655.0"/>
        <n v="27023.0"/>
        <n v="64680.0"/>
        <n v="22243.0"/>
        <n v="23594.0"/>
        <n v="23320.0"/>
        <n v="23622.0"/>
        <n v="21026.0"/>
        <n v="11406.0"/>
        <n v="8278.0"/>
        <n v="17647.0"/>
        <n v="11383.0"/>
        <n v="21862.0"/>
        <n v="11080.0"/>
        <n v="9485.0"/>
        <n v="9437.0"/>
        <n v="11879.0"/>
        <n v="4811.0"/>
        <n v="7522.0"/>
        <n v="7254.0"/>
        <n v="5312.0"/>
        <n v="5953.0"/>
        <n v="8671.0"/>
        <n v="6172.0"/>
        <n v="4711.0"/>
        <n v="5159.0"/>
        <n v="12338.0"/>
        <n v="58523.0"/>
        <n v="85305.0"/>
        <n v="61353.0"/>
        <n v="86790.0"/>
        <n v="68694.0"/>
        <n v="46552.0"/>
        <n v="48478.0"/>
        <n v="54052.0"/>
        <n v="43182.0"/>
        <n v="49397.0"/>
        <n v="17555.0"/>
        <n v="34958.0"/>
        <n v="16629.0"/>
        <n v="16747.0"/>
        <n v="38701.0"/>
        <n v="16778.0"/>
        <n v="17479.0"/>
        <n v="22348.0"/>
        <n v="22681.0"/>
        <n v="22563.0"/>
        <n v="8124.0"/>
        <n v="10946.0"/>
        <n v="18066.0"/>
        <n v="12151.0"/>
        <n v="12124.0"/>
        <n v="7988.0"/>
        <n v="19138.0"/>
        <n v="8875.0"/>
        <n v="12841.0"/>
        <n v="12740.0"/>
      </sharedItems>
    </cacheField>
    <cacheField name="Clicks" numFmtId="3">
      <sharedItems containsSemiMixedTypes="0" containsString="0" containsNumber="1" containsInteger="1">
        <n v="2483.0"/>
        <n v="2539.0"/>
        <n v="2525.0"/>
        <n v="2657.0"/>
        <n v="2867.0"/>
        <n v="2588.0"/>
        <n v="2830.0"/>
        <n v="1402.0"/>
        <n v="1398.0"/>
        <n v="1324.0"/>
        <n v="1724.0"/>
        <n v="1438.0"/>
        <n v="1624.0"/>
        <n v="1695.0"/>
        <n v="1684.0"/>
        <n v="1401.0"/>
        <n v="1515.0"/>
        <n v="1614.0"/>
        <n v="1348.0"/>
        <n v="1667.0"/>
        <n v="1639.0"/>
        <n v="1312.0"/>
        <n v="1370.0"/>
        <n v="1416.0"/>
        <n v="1618.0"/>
        <n v="1350.0"/>
        <n v="1498.0"/>
        <n v="1637.0"/>
        <n v="1456.0"/>
        <n v="1702.0"/>
        <n v="725.0"/>
        <n v="545.0"/>
        <n v="686.0"/>
        <n v="610.0"/>
        <n v="656.0"/>
        <n v="360.0"/>
        <n v="449.0"/>
        <n v="432.0"/>
        <n v="373.0"/>
        <n v="406.0"/>
        <n v="229.0"/>
        <n v="212.0"/>
        <n v="198.0"/>
        <n v="188.0"/>
        <n v="235.0"/>
        <n v="176.0"/>
        <n v="236.0"/>
        <n v="216.0"/>
        <n v="195.0"/>
        <n v="191.0"/>
        <n v="109.0"/>
        <n v="117.0"/>
        <n v="100.0"/>
        <n v="98.0"/>
        <n v="124.0"/>
        <n v="94.0"/>
        <n v="111.0"/>
        <n v="120.0"/>
        <n v="104.0"/>
        <n v="113.0"/>
        <n v="534.0"/>
        <n v="553.0"/>
        <n v="621.0"/>
        <n v="568.0"/>
        <n v="530.0"/>
        <n v="389.0"/>
        <n v="418.0"/>
        <n v="361.0"/>
        <n v="425.0"/>
        <n v="333.0"/>
        <n v="167.0"/>
        <n v="207.0"/>
        <n v="179.0"/>
        <n v="219.0"/>
        <n v="213.0"/>
        <n v="189.0"/>
        <n v="174.0"/>
        <n v="222.0"/>
        <n v="103.0"/>
        <n v="114.0"/>
        <n v="116.0"/>
        <n v="96.0"/>
        <n v="105.0"/>
        <n v="101.0"/>
        <n v="118.0"/>
        <n v="920.0"/>
        <n v="1020.0"/>
        <n v="893.0"/>
        <n v="921.0"/>
        <n v="1080.0"/>
        <n v="652.0"/>
        <n v="665.0"/>
        <n v="604.0"/>
        <n v="765.0"/>
        <n v="721.0"/>
        <n v="341.0"/>
        <n v="346.0"/>
        <n v="310.0"/>
        <n v="352.0"/>
        <n v="369.0"/>
        <n v="306.0"/>
        <n v="343.0"/>
        <n v="305.0"/>
        <n v="169.0"/>
        <n v="156.0"/>
        <n v="172.0"/>
        <n v="184.0"/>
        <n v="165.0"/>
        <n v="157.0"/>
        <n v="159.0"/>
        <n v="208.0"/>
        <n v="196.0"/>
      </sharedItems>
    </cacheField>
    <cacheField name="Conversions" numFmtId="3">
      <sharedItems containsSemiMixedTypes="0" containsString="0" containsNumber="1" containsInteger="1">
        <n v="13.0"/>
        <n v="16.0"/>
        <n v="14.0"/>
        <n v="12.0"/>
        <n v="22.0"/>
        <n v="20.0"/>
        <n v="18.0"/>
        <n v="9.0"/>
        <n v="10.0"/>
        <n v="8.0"/>
        <n v="7.0"/>
        <n v="11.0"/>
        <n v="6.0"/>
        <n v="37.0"/>
        <n v="29.0"/>
        <n v="40.0"/>
        <n v="33.0"/>
        <n v="23.0"/>
        <n v="21.0"/>
        <n v="25.0"/>
        <n v="17.0"/>
        <n v="19.0"/>
        <n v="15.0"/>
        <n v="91.0"/>
        <n v="80.0"/>
        <n v="94.0"/>
        <n v="59.0"/>
        <n v="68.0"/>
        <n v="51.0"/>
        <n v="75.0"/>
        <n v="63.0"/>
        <n v="72.0"/>
        <n v="48.0"/>
        <n v="34.0"/>
        <n v="46.0"/>
        <n v="38.0"/>
        <n v="44.0"/>
        <n v="43.0"/>
        <n v="30.0"/>
        <n v="32.0"/>
        <n v="24.0"/>
        <n v="121.0"/>
        <n v="101.0"/>
        <n v="116.0"/>
        <n v="145.0"/>
        <n v="100.0"/>
        <n v="120.0"/>
        <n v="78.0"/>
        <n v="106.0"/>
        <n v="123.0"/>
        <n v="128.0"/>
        <n v="77.0"/>
        <n v="65.0"/>
        <n v="55.0"/>
        <n v="66.0"/>
        <n v="60.0"/>
        <n v="47.0"/>
        <n v="36.0"/>
        <n v="39.0"/>
        <n v="28.0"/>
        <n v="53.0"/>
      </sharedItems>
    </cacheField>
    <cacheField name="Revenue_USD" numFmtId="165">
      <sharedItems containsSemiMixedTypes="0" containsString="0" containsNumber="1">
        <n v="1393.43"/>
        <n v="1502.31"/>
        <n v="1422.05"/>
        <n v="1500.42"/>
        <n v="1678.27"/>
        <n v="1410.28"/>
        <n v="1634.26"/>
        <n v="827.23"/>
        <n v="828.41"/>
        <n v="792.85"/>
        <n v="1088.42"/>
        <n v="872.52"/>
        <n v="1034.88"/>
        <n v="1034.64"/>
        <n v="1052.27"/>
        <n v="909.08"/>
        <n v="971.44"/>
        <n v="985.7"/>
        <n v="800.37"/>
        <n v="984.17"/>
        <n v="1014.08"/>
        <n v="831.4"/>
        <n v="890.28"/>
        <n v="912.23"/>
        <n v="952.36"/>
        <n v="850.9"/>
        <n v="889.37"/>
        <n v="1035.35"/>
        <n v="881.95"/>
        <n v="1019.08"/>
        <n v="2971.76"/>
        <n v="2657.34"/>
        <n v="3206.51"/>
        <n v="2984.36"/>
        <n v="3023.55"/>
        <n v="2098.08"/>
        <n v="2588.47"/>
        <n v="2436.34"/>
        <n v="2187.23"/>
        <n v="2409.0"/>
        <n v="1455.7"/>
        <n v="1425.6"/>
        <n v="1285.67"/>
        <n v="1331.05"/>
        <n v="1609.0"/>
        <n v="1140.29"/>
        <n v="1533.65"/>
        <n v="1443.7"/>
        <n v="1234.4"/>
        <n v="1238.83"/>
        <n v="735.42"/>
        <n v="796.68"/>
        <n v="740.37"/>
        <n v="702.31"/>
        <n v="877.37"/>
        <n v="712.54"/>
        <n v="769.86"/>
        <n v="878.91"/>
        <n v="726.71"/>
        <n v="799.29"/>
        <n v="7578.79"/>
        <n v="7541.08"/>
        <n v="7890.84"/>
        <n v="7560.33"/>
        <n v="7313.81"/>
        <n v="6160.52"/>
        <n v="6425.94"/>
        <n v="5883.49"/>
        <n v="6645.86"/>
        <n v="5149.07"/>
        <n v="3559.98"/>
        <n v="3041.95"/>
        <n v="3632.97"/>
        <n v="3314.89"/>
        <n v="4043.3"/>
        <n v="3776.98"/>
        <n v="3272.11"/>
        <n v="2862.86"/>
        <n v="3163.45"/>
        <n v="3736.03"/>
        <n v="1942.67"/>
        <n v="2252.59"/>
        <n v="2256.52"/>
        <n v="1733.87"/>
        <n v="1963.2"/>
        <n v="1984.21"/>
        <n v="1898.04"/>
        <n v="1781.02"/>
        <n v="1839.24"/>
        <n v="2194.42"/>
        <n v="11479.06"/>
        <n v="11730.4"/>
        <n v="11697.34"/>
        <n v="10817.12"/>
        <n v="12167.69"/>
        <n v="9973.63"/>
        <n v="9470.82"/>
        <n v="9399.98"/>
        <n v="10261.8"/>
        <n v="10364.79"/>
        <n v="5787.42"/>
        <n v="5822.56"/>
        <n v="5829.49"/>
        <n v="5909.48"/>
        <n v="6160.84"/>
        <n v="5356.21"/>
        <n v="5454.61"/>
        <n v="5785.61"/>
        <n v="5138.54"/>
        <n v="5755.76"/>
        <n v="3197.87"/>
        <n v="2825.82"/>
        <n v="3474.98"/>
        <n v="3557.71"/>
        <n v="3484.36"/>
        <n v="3334.65"/>
        <n v="3113.72"/>
        <n v="3190.65"/>
        <n v="4099.29"/>
        <n v="3757.83"/>
      </sharedItems>
    </cacheField>
    <cacheField name="ROAS" numFmtId="165">
      <sharedItems containsSemiMixedTypes="0" containsString="0" containsNumber="1">
        <n v="3.74"/>
        <n v="3.94"/>
        <n v="3.75"/>
        <n v="3.76"/>
        <n v="3.9"/>
        <n v="3.63"/>
        <n v="3.85"/>
        <n v="3.93"/>
        <n v="3.95"/>
        <n v="3.99"/>
        <n v="4.21"/>
        <n v="4.04"/>
        <n v="4.25"/>
        <n v="4.07"/>
        <n v="4.17"/>
        <n v="4.32"/>
        <n v="4.27"/>
        <n v="3.96"/>
        <n v="4.12"/>
        <n v="4.22"/>
        <n v="4.33"/>
        <n v="4.29"/>
        <n v="3.92"/>
        <n v="4.2"/>
        <n v="2.16"/>
        <n v="2.57"/>
        <n v="2.46"/>
        <n v="2.42"/>
        <n v="3.06"/>
        <n v="3.03"/>
        <n v="2.96"/>
        <n v="3.08"/>
        <n v="3.12"/>
        <n v="3.34"/>
        <n v="3.54"/>
        <n v="3.41"/>
        <n v="3.71"/>
        <n v="3.6"/>
        <n v="3.4"/>
        <n v="3.42"/>
        <n v="3.52"/>
        <n v="3.32"/>
        <n v="3.55"/>
        <n v="3.86"/>
        <n v="3.72"/>
        <n v="3.98"/>
        <n v="3.64"/>
        <n v="3.83"/>
        <n v="3.67"/>
        <n v="4.58"/>
        <n v="4.4"/>
        <n v="4.1"/>
        <n v="4.45"/>
        <n v="5.1"/>
        <n v="4.96"/>
        <n v="5.25"/>
        <n v="5.04"/>
        <n v="4.99"/>
        <n v="5.87"/>
        <n v="5.63"/>
        <n v="5.96"/>
        <n v="5.94"/>
        <n v="5.7"/>
        <n v="5.57"/>
        <n v="5.52"/>
        <n v="5.85"/>
        <n v="5.42"/>
        <n v="6.08"/>
        <n v="6.35"/>
        <n v="6.26"/>
        <n v="5.82"/>
        <n v="5.8"/>
        <n v="6.12"/>
        <n v="5.78"/>
        <n v="5.81"/>
        <n v="5.86"/>
        <n v="5.98"/>
        <n v="5.2"/>
        <n v="4.79"/>
        <n v="5.45"/>
        <n v="4.89"/>
        <n v="4.69"/>
        <n v="6.37"/>
        <n v="5.93"/>
        <n v="6.48"/>
        <n v="5.59"/>
        <n v="5.99"/>
        <n v="7.07"/>
        <n v="7.0"/>
        <n v="7.83"/>
        <n v="6.99"/>
        <n v="6.96"/>
        <n v="7.18"/>
        <n v="7.42"/>
        <n v="7.01"/>
        <n v="7.88"/>
        <n v="7.5"/>
        <n v="8.37"/>
        <n v="7.45"/>
        <n v="8.38"/>
        <n v="8.25"/>
        <n v="8.33"/>
        <n v="8.19"/>
        <n v="7.99"/>
      </sharedItems>
    </cacheField>
    <cacheField name="Column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F6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arket" compact="0" outline="0" multipleItemSelectionAllowed="1" showAll="0">
      <items>
        <item x="0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ampaign" compact="0" outline="0" multipleItemSelectionAllowed="1" showAll="0">
      <items>
        <item x="0"/>
        <item x="1"/>
        <item x="2"/>
        <item t="default"/>
      </items>
    </pivotField>
    <pivotField name="Spend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Click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onver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evenue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ROA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lumn 11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Spend_USD" fld="4" baseField="0"/>
    <dataField name="SUM of Impressions" fld="5" baseField="0"/>
    <dataField name="SUM of Clicks" fld="6" baseField="0"/>
    <dataField name="SUM of Conversions" fld="7" baseField="0"/>
    <dataField name="SUM of Revenue_USD" fld="8" baseField="0"/>
  </dataFields>
</pivotTableDefinition>
</file>

<file path=xl/tables/table1.xml><?xml version="1.0" encoding="utf-8"?>
<table xmlns="http://schemas.openxmlformats.org/spreadsheetml/2006/main" ref="A1:K121" displayName="Table1" name="Table1" id="1">
  <autoFilter ref="$A$1:$K$121"/>
  <tableColumns count="11">
    <tableColumn name="Date" id="1"/>
    <tableColumn name="Market" id="2"/>
    <tableColumn name="Channel" id="3"/>
    <tableColumn name="Campaign" id="4"/>
    <tableColumn name="Spend_USD" id="5"/>
    <tableColumn name="Impressions" id="6"/>
    <tableColumn name="Clicks" id="7"/>
    <tableColumn name="Conversions" id="8"/>
    <tableColumn name="Revenue_USD" id="9"/>
    <tableColumn name="ROAS" id="10"/>
    <tableColumn name="Column 11" id="11"/>
  </tableColumns>
  <tableStyleInfo name="GT_MarketingA_Channel_Perfor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75"/>
    <col customWidth="1" min="4" max="4" width="19.75"/>
    <col customWidth="1" min="5" max="5" width="14.13"/>
    <col customWidth="1" min="6" max="6" width="14.63"/>
    <col customWidth="1" min="8" max="8" width="14.75"/>
    <col customWidth="1" min="9" max="9" width="15.75"/>
  </cols>
  <sheetData>
    <row r="1" ht="22.5" customHeight="1">
      <c r="A1" s="5" t="s">
        <v>2</v>
      </c>
      <c r="B1" s="5" t="s">
        <v>11</v>
      </c>
      <c r="C1" s="5" t="s">
        <v>0</v>
      </c>
      <c r="D1" s="5" t="s">
        <v>12</v>
      </c>
      <c r="E1" s="7" t="s">
        <v>13</v>
      </c>
      <c r="F1" s="8" t="s">
        <v>14</v>
      </c>
      <c r="G1" s="8" t="s">
        <v>15</v>
      </c>
      <c r="H1" s="8" t="s">
        <v>16</v>
      </c>
      <c r="I1" s="7" t="s">
        <v>17</v>
      </c>
      <c r="J1" s="7" t="s">
        <v>7</v>
      </c>
      <c r="K1" s="10" t="s">
        <v>18</v>
      </c>
    </row>
    <row r="2" ht="22.5" customHeight="1">
      <c r="A2" s="12">
        <v>46083.0</v>
      </c>
      <c r="B2" s="13" t="s">
        <v>20</v>
      </c>
      <c r="C2" s="14" t="s">
        <v>10</v>
      </c>
      <c r="D2" s="14" t="s">
        <v>22</v>
      </c>
      <c r="E2" s="16">
        <v>372.53</v>
      </c>
      <c r="F2" s="18">
        <v>14673.0</v>
      </c>
      <c r="G2" s="18">
        <v>2483.0</v>
      </c>
      <c r="H2" s="18">
        <v>13.0</v>
      </c>
      <c r="I2" s="16">
        <v>1393.43</v>
      </c>
      <c r="J2" s="16">
        <v>3.74</v>
      </c>
      <c r="K2" s="20"/>
    </row>
    <row r="3" ht="22.5" customHeight="1">
      <c r="A3" s="12">
        <v>46084.0</v>
      </c>
      <c r="B3" s="13" t="s">
        <v>20</v>
      </c>
      <c r="C3" s="14" t="s">
        <v>10</v>
      </c>
      <c r="D3" s="14" t="s">
        <v>22</v>
      </c>
      <c r="E3" s="16">
        <v>380.97</v>
      </c>
      <c r="F3" s="18">
        <v>21587.0</v>
      </c>
      <c r="G3" s="18">
        <v>2539.0</v>
      </c>
      <c r="H3" s="18">
        <v>16.0</v>
      </c>
      <c r="I3" s="16">
        <v>1502.31</v>
      </c>
      <c r="J3" s="16">
        <v>3.94</v>
      </c>
      <c r="K3" s="20"/>
    </row>
    <row r="4" ht="22.5" customHeight="1">
      <c r="A4" s="12">
        <v>46085.0</v>
      </c>
      <c r="B4" s="13" t="s">
        <v>20</v>
      </c>
      <c r="C4" s="14" t="s">
        <v>10</v>
      </c>
      <c r="D4" s="14" t="s">
        <v>22</v>
      </c>
      <c r="E4" s="16">
        <v>378.88</v>
      </c>
      <c r="F4" s="18">
        <v>14238.0</v>
      </c>
      <c r="G4" s="18">
        <v>2525.0</v>
      </c>
      <c r="H4" s="18">
        <v>14.0</v>
      </c>
      <c r="I4" s="16">
        <v>1422.05</v>
      </c>
      <c r="J4" s="16">
        <v>3.75</v>
      </c>
      <c r="K4" s="20"/>
    </row>
    <row r="5" ht="22.5" customHeight="1">
      <c r="A5" s="12">
        <v>46086.0</v>
      </c>
      <c r="B5" s="13" t="s">
        <v>20</v>
      </c>
      <c r="C5" s="14" t="s">
        <v>10</v>
      </c>
      <c r="D5" s="14" t="s">
        <v>22</v>
      </c>
      <c r="E5" s="16">
        <v>398.56</v>
      </c>
      <c r="F5" s="18">
        <v>25969.0</v>
      </c>
      <c r="G5" s="18">
        <v>2657.0</v>
      </c>
      <c r="H5" s="18">
        <v>12.0</v>
      </c>
      <c r="I5" s="16">
        <v>1500.42</v>
      </c>
      <c r="J5" s="16">
        <v>3.76</v>
      </c>
      <c r="K5" s="20"/>
    </row>
    <row r="6" ht="22.5" customHeight="1">
      <c r="A6" s="12">
        <v>46087.0</v>
      </c>
      <c r="B6" s="13" t="s">
        <v>20</v>
      </c>
      <c r="C6" s="14" t="s">
        <v>10</v>
      </c>
      <c r="D6" s="14" t="s">
        <v>22</v>
      </c>
      <c r="E6" s="16">
        <v>430.09</v>
      </c>
      <c r="F6" s="18">
        <v>22520.0</v>
      </c>
      <c r="G6" s="18">
        <v>2867.0</v>
      </c>
      <c r="H6" s="18">
        <v>22.0</v>
      </c>
      <c r="I6" s="16">
        <v>1678.27</v>
      </c>
      <c r="J6" s="16">
        <v>3.9</v>
      </c>
      <c r="K6" s="20"/>
    </row>
    <row r="7" ht="22.5" customHeight="1">
      <c r="A7" s="12">
        <v>46088.0</v>
      </c>
      <c r="B7" s="13" t="s">
        <v>20</v>
      </c>
      <c r="C7" s="14" t="s">
        <v>10</v>
      </c>
      <c r="D7" s="14" t="s">
        <v>22</v>
      </c>
      <c r="E7" s="16">
        <v>388.28</v>
      </c>
      <c r="F7" s="18">
        <v>15542.0</v>
      </c>
      <c r="G7" s="18">
        <v>2588.0</v>
      </c>
      <c r="H7" s="18">
        <v>20.0</v>
      </c>
      <c r="I7" s="16">
        <v>1410.28</v>
      </c>
      <c r="J7" s="16">
        <v>3.63</v>
      </c>
      <c r="K7" s="20"/>
    </row>
    <row r="8" ht="22.5" customHeight="1">
      <c r="A8" s="12">
        <v>46089.0</v>
      </c>
      <c r="B8" s="13" t="s">
        <v>20</v>
      </c>
      <c r="C8" s="14" t="s">
        <v>10</v>
      </c>
      <c r="D8" s="14" t="s">
        <v>22</v>
      </c>
      <c r="E8" s="16">
        <v>424.62</v>
      </c>
      <c r="F8" s="18">
        <v>24433.0</v>
      </c>
      <c r="G8" s="18">
        <v>2830.0</v>
      </c>
      <c r="H8" s="18">
        <v>18.0</v>
      </c>
      <c r="I8" s="16">
        <v>1634.26</v>
      </c>
      <c r="J8" s="16">
        <v>3.85</v>
      </c>
      <c r="K8" s="20"/>
    </row>
    <row r="9" ht="22.5" customHeight="1">
      <c r="A9" s="12">
        <v>46090.0</v>
      </c>
      <c r="B9" s="13" t="s">
        <v>20</v>
      </c>
      <c r="C9" s="14" t="s">
        <v>10</v>
      </c>
      <c r="D9" s="14" t="s">
        <v>22</v>
      </c>
      <c r="E9" s="16">
        <v>210.4</v>
      </c>
      <c r="F9" s="18">
        <v>7999.0</v>
      </c>
      <c r="G9" s="18">
        <v>1402.0</v>
      </c>
      <c r="H9" s="18">
        <v>9.0</v>
      </c>
      <c r="I9" s="16">
        <v>827.23</v>
      </c>
      <c r="J9" s="16">
        <v>3.93</v>
      </c>
      <c r="K9" s="20"/>
    </row>
    <row r="10" ht="22.5" customHeight="1">
      <c r="A10" s="12">
        <v>46091.0</v>
      </c>
      <c r="B10" s="13" t="s">
        <v>20</v>
      </c>
      <c r="C10" s="14" t="s">
        <v>10</v>
      </c>
      <c r="D10" s="14" t="s">
        <v>22</v>
      </c>
      <c r="E10" s="16">
        <v>209.81</v>
      </c>
      <c r="F10" s="18">
        <v>8014.0</v>
      </c>
      <c r="G10" s="18">
        <v>1398.0</v>
      </c>
      <c r="H10" s="18">
        <v>10.0</v>
      </c>
      <c r="I10" s="16">
        <v>828.41</v>
      </c>
      <c r="J10" s="16">
        <v>3.95</v>
      </c>
      <c r="K10" s="20"/>
    </row>
    <row r="11" ht="22.5" customHeight="1">
      <c r="A11" s="12">
        <v>46092.0</v>
      </c>
      <c r="B11" s="13" t="s">
        <v>20</v>
      </c>
      <c r="C11" s="14" t="s">
        <v>10</v>
      </c>
      <c r="D11" s="14" t="s">
        <v>22</v>
      </c>
      <c r="E11" s="16">
        <v>198.67</v>
      </c>
      <c r="F11" s="18">
        <v>7986.0</v>
      </c>
      <c r="G11" s="18">
        <v>1324.0</v>
      </c>
      <c r="H11" s="18">
        <v>8.0</v>
      </c>
      <c r="I11" s="16">
        <v>792.85</v>
      </c>
      <c r="J11" s="16">
        <v>3.99</v>
      </c>
      <c r="K11" s="20"/>
    </row>
    <row r="12" ht="22.5" customHeight="1">
      <c r="A12" s="12">
        <v>46093.0</v>
      </c>
      <c r="B12" s="13" t="s">
        <v>20</v>
      </c>
      <c r="C12" s="14" t="s">
        <v>10</v>
      </c>
      <c r="D12" s="14" t="s">
        <v>22</v>
      </c>
      <c r="E12" s="16">
        <v>258.69</v>
      </c>
      <c r="F12" s="18">
        <v>11205.0</v>
      </c>
      <c r="G12" s="18">
        <v>1724.0</v>
      </c>
      <c r="H12" s="18">
        <v>13.0</v>
      </c>
      <c r="I12" s="16">
        <v>1088.42</v>
      </c>
      <c r="J12" s="16">
        <v>4.21</v>
      </c>
      <c r="K12" s="20"/>
    </row>
    <row r="13" ht="22.5" customHeight="1">
      <c r="A13" s="12">
        <v>46094.0</v>
      </c>
      <c r="B13" s="13" t="s">
        <v>20</v>
      </c>
      <c r="C13" s="14" t="s">
        <v>10</v>
      </c>
      <c r="D13" s="14" t="s">
        <v>22</v>
      </c>
      <c r="E13" s="16">
        <v>215.81</v>
      </c>
      <c r="F13" s="18">
        <v>10074.0</v>
      </c>
      <c r="G13" s="18">
        <v>1438.0</v>
      </c>
      <c r="H13" s="18">
        <v>7.0</v>
      </c>
      <c r="I13" s="16">
        <v>872.52</v>
      </c>
      <c r="J13" s="16">
        <v>4.04</v>
      </c>
      <c r="K13" s="20"/>
    </row>
    <row r="14" ht="22.5" customHeight="1">
      <c r="A14" s="12">
        <v>46095.0</v>
      </c>
      <c r="B14" s="13" t="s">
        <v>20</v>
      </c>
      <c r="C14" s="14" t="s">
        <v>10</v>
      </c>
      <c r="D14" s="14" t="s">
        <v>22</v>
      </c>
      <c r="E14" s="16">
        <v>243.7</v>
      </c>
      <c r="F14" s="18">
        <v>15242.0</v>
      </c>
      <c r="G14" s="18">
        <v>1624.0</v>
      </c>
      <c r="H14" s="18">
        <v>13.0</v>
      </c>
      <c r="I14" s="16">
        <v>1034.88</v>
      </c>
      <c r="J14" s="16">
        <v>4.25</v>
      </c>
      <c r="K14" s="20"/>
    </row>
    <row r="15" ht="22.5" customHeight="1">
      <c r="A15" s="12">
        <v>46096.0</v>
      </c>
      <c r="B15" s="13" t="s">
        <v>20</v>
      </c>
      <c r="C15" s="14" t="s">
        <v>10</v>
      </c>
      <c r="D15" s="14" t="s">
        <v>22</v>
      </c>
      <c r="E15" s="16">
        <v>254.3</v>
      </c>
      <c r="F15" s="18">
        <v>13814.0</v>
      </c>
      <c r="G15" s="18">
        <v>1695.0</v>
      </c>
      <c r="H15" s="18">
        <v>11.0</v>
      </c>
      <c r="I15" s="16">
        <v>1034.64</v>
      </c>
      <c r="J15" s="16">
        <v>4.07</v>
      </c>
      <c r="K15" s="20"/>
    </row>
    <row r="16" ht="22.5" customHeight="1">
      <c r="A16" s="12">
        <v>46097.0</v>
      </c>
      <c r="B16" s="13" t="s">
        <v>20</v>
      </c>
      <c r="C16" s="14" t="s">
        <v>10</v>
      </c>
      <c r="D16" s="14" t="s">
        <v>22</v>
      </c>
      <c r="E16" s="16">
        <v>252.61</v>
      </c>
      <c r="F16" s="18">
        <v>11441.0</v>
      </c>
      <c r="G16" s="18">
        <v>1684.0</v>
      </c>
      <c r="H16" s="18">
        <v>13.0</v>
      </c>
      <c r="I16" s="16">
        <v>1052.27</v>
      </c>
      <c r="J16" s="16">
        <v>4.17</v>
      </c>
      <c r="K16" s="20"/>
    </row>
    <row r="17" ht="22.5" customHeight="1">
      <c r="A17" s="12">
        <v>46098.0</v>
      </c>
      <c r="B17" s="13" t="s">
        <v>20</v>
      </c>
      <c r="C17" s="14" t="s">
        <v>10</v>
      </c>
      <c r="D17" s="14" t="s">
        <v>22</v>
      </c>
      <c r="E17" s="16">
        <v>210.26</v>
      </c>
      <c r="F17" s="18">
        <v>11259.0</v>
      </c>
      <c r="G17" s="18">
        <v>1401.0</v>
      </c>
      <c r="H17" s="18">
        <v>7.0</v>
      </c>
      <c r="I17" s="16">
        <v>909.08</v>
      </c>
      <c r="J17" s="16">
        <v>4.32</v>
      </c>
      <c r="K17" s="20"/>
    </row>
    <row r="18" ht="22.5" customHeight="1">
      <c r="A18" s="12">
        <v>46099.0</v>
      </c>
      <c r="B18" s="13" t="s">
        <v>20</v>
      </c>
      <c r="C18" s="14" t="s">
        <v>10</v>
      </c>
      <c r="D18" s="14" t="s">
        <v>22</v>
      </c>
      <c r="E18" s="16">
        <v>227.27</v>
      </c>
      <c r="F18" s="18">
        <v>13024.0</v>
      </c>
      <c r="G18" s="18">
        <v>1515.0</v>
      </c>
      <c r="H18" s="18">
        <v>9.0</v>
      </c>
      <c r="I18" s="16">
        <v>971.44</v>
      </c>
      <c r="J18" s="16">
        <v>4.27</v>
      </c>
      <c r="K18" s="20"/>
    </row>
    <row r="19" ht="22.5" customHeight="1">
      <c r="A19" s="12">
        <v>46100.0</v>
      </c>
      <c r="B19" s="13" t="s">
        <v>20</v>
      </c>
      <c r="C19" s="14" t="s">
        <v>10</v>
      </c>
      <c r="D19" s="14" t="s">
        <v>22</v>
      </c>
      <c r="E19" s="16">
        <v>242.11</v>
      </c>
      <c r="F19" s="18">
        <v>12402.0</v>
      </c>
      <c r="G19" s="18">
        <v>1614.0</v>
      </c>
      <c r="H19" s="18">
        <v>10.0</v>
      </c>
      <c r="I19" s="16">
        <v>985.7</v>
      </c>
      <c r="J19" s="16">
        <v>4.07</v>
      </c>
      <c r="K19" s="20"/>
    </row>
    <row r="20" ht="22.5" customHeight="1">
      <c r="A20" s="12">
        <v>46101.0</v>
      </c>
      <c r="B20" s="13" t="s">
        <v>20</v>
      </c>
      <c r="C20" s="14" t="s">
        <v>10</v>
      </c>
      <c r="D20" s="14" t="s">
        <v>22</v>
      </c>
      <c r="E20" s="16">
        <v>202.23</v>
      </c>
      <c r="F20" s="18">
        <v>10729.0</v>
      </c>
      <c r="G20" s="18">
        <v>1348.0</v>
      </c>
      <c r="H20" s="18">
        <v>6.0</v>
      </c>
      <c r="I20" s="16">
        <v>800.37</v>
      </c>
      <c r="J20" s="16">
        <v>3.96</v>
      </c>
      <c r="K20" s="20"/>
    </row>
    <row r="21" ht="22.5" customHeight="1">
      <c r="A21" s="12">
        <v>46102.0</v>
      </c>
      <c r="B21" s="13" t="s">
        <v>20</v>
      </c>
      <c r="C21" s="14" t="s">
        <v>10</v>
      </c>
      <c r="D21" s="14" t="s">
        <v>22</v>
      </c>
      <c r="E21" s="16">
        <v>250.14</v>
      </c>
      <c r="F21" s="18">
        <v>10367.0</v>
      </c>
      <c r="G21" s="18">
        <v>1667.0</v>
      </c>
      <c r="H21" s="18">
        <v>11.0</v>
      </c>
      <c r="I21" s="16">
        <v>984.17</v>
      </c>
      <c r="J21" s="16">
        <v>3.93</v>
      </c>
      <c r="K21" s="20"/>
    </row>
    <row r="22" ht="22.5" customHeight="1">
      <c r="A22" s="12">
        <v>46103.0</v>
      </c>
      <c r="B22" s="13" t="s">
        <v>20</v>
      </c>
      <c r="C22" s="14" t="s">
        <v>10</v>
      </c>
      <c r="D22" s="14" t="s">
        <v>22</v>
      </c>
      <c r="E22" s="16">
        <v>245.92</v>
      </c>
      <c r="F22" s="18">
        <v>9495.0</v>
      </c>
      <c r="G22" s="18">
        <v>1639.0</v>
      </c>
      <c r="H22" s="18">
        <v>10.0</v>
      </c>
      <c r="I22" s="16">
        <v>1014.08</v>
      </c>
      <c r="J22" s="16">
        <v>4.12</v>
      </c>
      <c r="K22" s="20"/>
    </row>
    <row r="23" ht="22.5" customHeight="1">
      <c r="A23" s="12">
        <v>46104.0</v>
      </c>
      <c r="B23" s="13" t="s">
        <v>20</v>
      </c>
      <c r="C23" s="14" t="s">
        <v>10</v>
      </c>
      <c r="D23" s="14" t="s">
        <v>22</v>
      </c>
      <c r="E23" s="16">
        <v>196.81</v>
      </c>
      <c r="F23" s="18">
        <v>7803.0</v>
      </c>
      <c r="G23" s="18">
        <v>1312.0</v>
      </c>
      <c r="H23" s="18">
        <v>8.0</v>
      </c>
      <c r="I23" s="16">
        <v>831.4</v>
      </c>
      <c r="J23" s="16">
        <v>4.22</v>
      </c>
      <c r="K23" s="20"/>
    </row>
    <row r="24" ht="22.5" customHeight="1">
      <c r="A24" s="12">
        <v>46105.0</v>
      </c>
      <c r="B24" s="13" t="s">
        <v>20</v>
      </c>
      <c r="C24" s="14" t="s">
        <v>10</v>
      </c>
      <c r="D24" s="14" t="s">
        <v>22</v>
      </c>
      <c r="E24" s="16">
        <v>205.52</v>
      </c>
      <c r="F24" s="18">
        <v>8221.0</v>
      </c>
      <c r="G24" s="18">
        <v>1370.0</v>
      </c>
      <c r="H24" s="18">
        <v>7.0</v>
      </c>
      <c r="I24" s="16">
        <v>890.28</v>
      </c>
      <c r="J24" s="16">
        <v>4.33</v>
      </c>
      <c r="K24" s="20"/>
    </row>
    <row r="25" ht="22.5" customHeight="1">
      <c r="A25" s="12">
        <v>46106.0</v>
      </c>
      <c r="B25" s="13" t="s">
        <v>20</v>
      </c>
      <c r="C25" s="14" t="s">
        <v>10</v>
      </c>
      <c r="D25" s="14" t="s">
        <v>22</v>
      </c>
      <c r="E25" s="16">
        <v>212.43</v>
      </c>
      <c r="F25" s="18">
        <v>12521.0</v>
      </c>
      <c r="G25" s="18">
        <v>1416.0</v>
      </c>
      <c r="H25" s="18">
        <v>9.0</v>
      </c>
      <c r="I25" s="16">
        <v>912.23</v>
      </c>
      <c r="J25" s="16">
        <v>4.29</v>
      </c>
      <c r="K25" s="20"/>
    </row>
    <row r="26" ht="22.5" customHeight="1">
      <c r="A26" s="12">
        <v>46107.0</v>
      </c>
      <c r="B26" s="13" t="s">
        <v>20</v>
      </c>
      <c r="C26" s="14" t="s">
        <v>10</v>
      </c>
      <c r="D26" s="14" t="s">
        <v>22</v>
      </c>
      <c r="E26" s="16">
        <v>242.72</v>
      </c>
      <c r="F26" s="18">
        <v>11099.0</v>
      </c>
      <c r="G26" s="18">
        <v>1618.0</v>
      </c>
      <c r="H26" s="18">
        <v>7.0</v>
      </c>
      <c r="I26" s="16">
        <v>952.36</v>
      </c>
      <c r="J26" s="16">
        <v>3.92</v>
      </c>
      <c r="K26" s="20"/>
    </row>
    <row r="27" ht="22.5" customHeight="1">
      <c r="A27" s="12">
        <v>46108.0</v>
      </c>
      <c r="B27" s="13" t="s">
        <v>20</v>
      </c>
      <c r="C27" s="14" t="s">
        <v>10</v>
      </c>
      <c r="D27" s="14" t="s">
        <v>22</v>
      </c>
      <c r="E27" s="16">
        <v>202.55</v>
      </c>
      <c r="F27" s="18">
        <v>8009.0</v>
      </c>
      <c r="G27" s="18">
        <v>1350.0</v>
      </c>
      <c r="H27" s="18">
        <v>7.0</v>
      </c>
      <c r="I27" s="16">
        <v>850.9</v>
      </c>
      <c r="J27" s="16">
        <v>4.2</v>
      </c>
      <c r="K27" s="20"/>
    </row>
    <row r="28" ht="22.5" customHeight="1">
      <c r="A28" s="12">
        <v>46109.0</v>
      </c>
      <c r="B28" s="13" t="s">
        <v>20</v>
      </c>
      <c r="C28" s="14" t="s">
        <v>10</v>
      </c>
      <c r="D28" s="14" t="s">
        <v>22</v>
      </c>
      <c r="E28" s="16">
        <v>224.82</v>
      </c>
      <c r="F28" s="18">
        <v>11778.0</v>
      </c>
      <c r="G28" s="18">
        <v>1498.0</v>
      </c>
      <c r="H28" s="18">
        <v>10.0</v>
      </c>
      <c r="I28" s="16">
        <v>889.37</v>
      </c>
      <c r="J28" s="16">
        <v>3.96</v>
      </c>
      <c r="K28" s="20"/>
    </row>
    <row r="29" ht="22.5" customHeight="1">
      <c r="A29" s="12">
        <v>46110.0</v>
      </c>
      <c r="B29" s="13" t="s">
        <v>20</v>
      </c>
      <c r="C29" s="14" t="s">
        <v>10</v>
      </c>
      <c r="D29" s="14" t="s">
        <v>22</v>
      </c>
      <c r="E29" s="16">
        <v>245.59</v>
      </c>
      <c r="F29" s="18">
        <v>11793.0</v>
      </c>
      <c r="G29" s="18">
        <v>1637.0</v>
      </c>
      <c r="H29" s="18">
        <v>9.0</v>
      </c>
      <c r="I29" s="16">
        <v>1035.35</v>
      </c>
      <c r="J29" s="16">
        <v>4.22</v>
      </c>
      <c r="K29" s="20"/>
    </row>
    <row r="30" ht="22.5" customHeight="1">
      <c r="A30" s="12">
        <v>46111.0</v>
      </c>
      <c r="B30" s="13" t="s">
        <v>20</v>
      </c>
      <c r="C30" s="14" t="s">
        <v>10</v>
      </c>
      <c r="D30" s="14" t="s">
        <v>22</v>
      </c>
      <c r="E30" s="16">
        <v>218.4</v>
      </c>
      <c r="F30" s="18">
        <v>9664.0</v>
      </c>
      <c r="G30" s="18">
        <v>1456.0</v>
      </c>
      <c r="H30" s="18">
        <v>9.0</v>
      </c>
      <c r="I30" s="16">
        <v>881.95</v>
      </c>
      <c r="J30" s="16">
        <v>4.04</v>
      </c>
      <c r="K30" s="20"/>
    </row>
    <row r="31" ht="22.5" customHeight="1">
      <c r="A31" s="12">
        <v>46112.0</v>
      </c>
      <c r="B31" s="13" t="s">
        <v>20</v>
      </c>
      <c r="C31" s="14" t="s">
        <v>10</v>
      </c>
      <c r="D31" s="14" t="s">
        <v>22</v>
      </c>
      <c r="E31" s="16">
        <v>255.31</v>
      </c>
      <c r="F31" s="18">
        <v>14063.0</v>
      </c>
      <c r="G31" s="18">
        <v>1702.0</v>
      </c>
      <c r="H31" s="18">
        <v>9.0</v>
      </c>
      <c r="I31" s="16">
        <v>1019.08</v>
      </c>
      <c r="J31" s="16">
        <v>3.99</v>
      </c>
      <c r="K31" s="20"/>
    </row>
    <row r="32" ht="22.5" customHeight="1">
      <c r="A32" s="12">
        <v>46083.0</v>
      </c>
      <c r="B32" s="13" t="s">
        <v>20</v>
      </c>
      <c r="C32" s="14" t="s">
        <v>19</v>
      </c>
      <c r="D32" s="14" t="s">
        <v>25</v>
      </c>
      <c r="E32" s="16">
        <v>1377.97</v>
      </c>
      <c r="F32" s="18">
        <v>67226.0</v>
      </c>
      <c r="G32" s="18">
        <v>725.0</v>
      </c>
      <c r="H32" s="18">
        <v>37.0</v>
      </c>
      <c r="I32" s="16">
        <v>2971.76</v>
      </c>
      <c r="J32" s="16">
        <v>2.16</v>
      </c>
      <c r="K32" s="20"/>
    </row>
    <row r="33" ht="22.5" customHeight="1">
      <c r="A33" s="12">
        <v>46084.0</v>
      </c>
      <c r="B33" s="13" t="s">
        <v>20</v>
      </c>
      <c r="C33" s="14" t="s">
        <v>19</v>
      </c>
      <c r="D33" s="14" t="s">
        <v>25</v>
      </c>
      <c r="E33" s="16">
        <v>1035.66</v>
      </c>
      <c r="F33" s="18">
        <v>39436.0</v>
      </c>
      <c r="G33" s="18">
        <v>545.0</v>
      </c>
      <c r="H33" s="18">
        <v>29.0</v>
      </c>
      <c r="I33" s="16">
        <v>2657.34</v>
      </c>
      <c r="J33" s="16">
        <v>2.57</v>
      </c>
      <c r="K33" s="20"/>
    </row>
    <row r="34" ht="22.5" customHeight="1">
      <c r="A34" s="12">
        <v>46085.0</v>
      </c>
      <c r="B34" s="13" t="s">
        <v>20</v>
      </c>
      <c r="C34" s="14" t="s">
        <v>19</v>
      </c>
      <c r="D34" s="14" t="s">
        <v>25</v>
      </c>
      <c r="E34" s="16">
        <v>1303.81</v>
      </c>
      <c r="F34" s="18">
        <v>48383.0</v>
      </c>
      <c r="G34" s="18">
        <v>686.0</v>
      </c>
      <c r="H34" s="18">
        <v>29.0</v>
      </c>
      <c r="I34" s="16">
        <v>3206.51</v>
      </c>
      <c r="J34" s="16">
        <v>2.46</v>
      </c>
      <c r="K34" s="20"/>
    </row>
    <row r="35" ht="22.5" customHeight="1">
      <c r="A35" s="12">
        <v>46086.0</v>
      </c>
      <c r="B35" s="13" t="s">
        <v>20</v>
      </c>
      <c r="C35" s="14" t="s">
        <v>19</v>
      </c>
      <c r="D35" s="14" t="s">
        <v>25</v>
      </c>
      <c r="E35" s="16">
        <v>1159.91</v>
      </c>
      <c r="F35" s="18">
        <v>44464.0</v>
      </c>
      <c r="G35" s="18">
        <v>610.0</v>
      </c>
      <c r="H35" s="18">
        <v>40.0</v>
      </c>
      <c r="I35" s="16">
        <v>2984.36</v>
      </c>
      <c r="J35" s="16">
        <v>2.57</v>
      </c>
      <c r="K35" s="20"/>
    </row>
    <row r="36" ht="22.5" customHeight="1">
      <c r="A36" s="12">
        <v>46087.0</v>
      </c>
      <c r="B36" s="13" t="s">
        <v>20</v>
      </c>
      <c r="C36" s="14" t="s">
        <v>19</v>
      </c>
      <c r="D36" s="14" t="s">
        <v>25</v>
      </c>
      <c r="E36" s="16">
        <v>1247.74</v>
      </c>
      <c r="F36" s="18">
        <v>58497.0</v>
      </c>
      <c r="G36" s="18">
        <v>656.0</v>
      </c>
      <c r="H36" s="18">
        <v>33.0</v>
      </c>
      <c r="I36" s="16">
        <v>3023.55</v>
      </c>
      <c r="J36" s="16">
        <v>2.42</v>
      </c>
      <c r="K36" s="20"/>
    </row>
    <row r="37" ht="22.5" customHeight="1">
      <c r="A37" s="12">
        <v>46088.0</v>
      </c>
      <c r="B37" s="13" t="s">
        <v>20</v>
      </c>
      <c r="C37" s="14" t="s">
        <v>19</v>
      </c>
      <c r="D37" s="14" t="s">
        <v>25</v>
      </c>
      <c r="E37" s="16">
        <v>685.41</v>
      </c>
      <c r="F37" s="18">
        <v>26115.0</v>
      </c>
      <c r="G37" s="18">
        <v>360.0</v>
      </c>
      <c r="H37" s="18">
        <v>16.0</v>
      </c>
      <c r="I37" s="16">
        <v>2098.08</v>
      </c>
      <c r="J37" s="16">
        <v>3.06</v>
      </c>
      <c r="K37" s="20"/>
    </row>
    <row r="38" ht="22.5" customHeight="1">
      <c r="A38" s="12">
        <v>46089.0</v>
      </c>
      <c r="B38" s="13" t="s">
        <v>20</v>
      </c>
      <c r="C38" s="14" t="s">
        <v>19</v>
      </c>
      <c r="D38" s="14" t="s">
        <v>25</v>
      </c>
      <c r="E38" s="16">
        <v>853.62</v>
      </c>
      <c r="F38" s="18">
        <v>36456.0</v>
      </c>
      <c r="G38" s="18">
        <v>449.0</v>
      </c>
      <c r="H38" s="18">
        <v>37.0</v>
      </c>
      <c r="I38" s="16">
        <v>2588.47</v>
      </c>
      <c r="J38" s="16">
        <v>3.03</v>
      </c>
      <c r="K38" s="20"/>
    </row>
    <row r="39" ht="22.5" customHeight="1">
      <c r="A39" s="12">
        <v>46090.0</v>
      </c>
      <c r="B39" s="13" t="s">
        <v>20</v>
      </c>
      <c r="C39" s="14" t="s">
        <v>19</v>
      </c>
      <c r="D39" s="14" t="s">
        <v>25</v>
      </c>
      <c r="E39" s="16">
        <v>822.66</v>
      </c>
      <c r="F39" s="18">
        <v>26577.0</v>
      </c>
      <c r="G39" s="18">
        <v>432.0</v>
      </c>
      <c r="H39" s="18">
        <v>23.0</v>
      </c>
      <c r="I39" s="16">
        <v>2436.34</v>
      </c>
      <c r="J39" s="16">
        <v>2.96</v>
      </c>
      <c r="K39" s="20"/>
    </row>
    <row r="40" ht="22.5" customHeight="1">
      <c r="A40" s="12">
        <v>46091.0</v>
      </c>
      <c r="B40" s="13" t="s">
        <v>20</v>
      </c>
      <c r="C40" s="14" t="s">
        <v>19</v>
      </c>
      <c r="D40" s="14" t="s">
        <v>25</v>
      </c>
      <c r="E40" s="16">
        <v>710.18</v>
      </c>
      <c r="F40" s="18">
        <v>20708.0</v>
      </c>
      <c r="G40" s="18">
        <v>373.0</v>
      </c>
      <c r="H40" s="18">
        <v>21.0</v>
      </c>
      <c r="I40" s="16">
        <v>2187.23</v>
      </c>
      <c r="J40" s="16">
        <v>3.08</v>
      </c>
      <c r="K40" s="20"/>
    </row>
    <row r="41" ht="22.5" customHeight="1">
      <c r="A41" s="12">
        <v>46092.0</v>
      </c>
      <c r="B41" s="13" t="s">
        <v>20</v>
      </c>
      <c r="C41" s="14" t="s">
        <v>19</v>
      </c>
      <c r="D41" s="14" t="s">
        <v>25</v>
      </c>
      <c r="E41" s="16">
        <v>773.02</v>
      </c>
      <c r="F41" s="18">
        <v>25608.0</v>
      </c>
      <c r="G41" s="18">
        <v>406.0</v>
      </c>
      <c r="H41" s="18">
        <v>25.0</v>
      </c>
      <c r="I41" s="16">
        <v>2409.0</v>
      </c>
      <c r="J41" s="16">
        <v>3.12</v>
      </c>
      <c r="K41" s="20"/>
    </row>
    <row r="42" ht="22.5" customHeight="1">
      <c r="A42" s="12">
        <v>46093.0</v>
      </c>
      <c r="B42" s="13" t="s">
        <v>20</v>
      </c>
      <c r="C42" s="14" t="s">
        <v>19</v>
      </c>
      <c r="D42" s="14" t="s">
        <v>25</v>
      </c>
      <c r="E42" s="16">
        <v>435.91</v>
      </c>
      <c r="F42" s="18">
        <v>27016.0</v>
      </c>
      <c r="G42" s="18">
        <v>229.0</v>
      </c>
      <c r="H42" s="18">
        <v>13.0</v>
      </c>
      <c r="I42" s="16">
        <v>1455.7</v>
      </c>
      <c r="J42" s="16">
        <v>3.34</v>
      </c>
      <c r="K42" s="20"/>
    </row>
    <row r="43" ht="22.5" customHeight="1">
      <c r="A43" s="12">
        <v>46094.0</v>
      </c>
      <c r="B43" s="13" t="s">
        <v>20</v>
      </c>
      <c r="C43" s="14" t="s">
        <v>19</v>
      </c>
      <c r="D43" s="14" t="s">
        <v>25</v>
      </c>
      <c r="E43" s="16">
        <v>402.97</v>
      </c>
      <c r="F43" s="18">
        <v>10003.0</v>
      </c>
      <c r="G43" s="18">
        <v>212.0</v>
      </c>
      <c r="H43" s="18">
        <v>12.0</v>
      </c>
      <c r="I43" s="16">
        <v>1425.6</v>
      </c>
      <c r="J43" s="16">
        <v>3.54</v>
      </c>
      <c r="K43" s="20"/>
    </row>
    <row r="44" ht="22.5" customHeight="1">
      <c r="A44" s="12">
        <v>46095.0</v>
      </c>
      <c r="B44" s="13" t="s">
        <v>20</v>
      </c>
      <c r="C44" s="14" t="s">
        <v>19</v>
      </c>
      <c r="D44" s="14" t="s">
        <v>25</v>
      </c>
      <c r="E44" s="16">
        <v>376.56</v>
      </c>
      <c r="F44" s="18">
        <v>24150.0</v>
      </c>
      <c r="G44" s="18">
        <v>198.0</v>
      </c>
      <c r="H44" s="18">
        <v>14.0</v>
      </c>
      <c r="I44" s="16">
        <v>1285.67</v>
      </c>
      <c r="J44" s="16">
        <v>3.41</v>
      </c>
      <c r="K44" s="20"/>
    </row>
    <row r="45" ht="22.5" customHeight="1">
      <c r="A45" s="12">
        <v>46096.0</v>
      </c>
      <c r="B45" s="13" t="s">
        <v>20</v>
      </c>
      <c r="C45" s="14" t="s">
        <v>19</v>
      </c>
      <c r="D45" s="14" t="s">
        <v>25</v>
      </c>
      <c r="E45" s="16">
        <v>358.61</v>
      </c>
      <c r="F45" s="18">
        <v>14807.0</v>
      </c>
      <c r="G45" s="18">
        <v>188.0</v>
      </c>
      <c r="H45" s="18">
        <v>14.0</v>
      </c>
      <c r="I45" s="16">
        <v>1331.05</v>
      </c>
      <c r="J45" s="16">
        <v>3.71</v>
      </c>
      <c r="K45" s="20"/>
    </row>
    <row r="46" ht="22.5" customHeight="1">
      <c r="A46" s="12">
        <v>46097.0</v>
      </c>
      <c r="B46" s="13" t="s">
        <v>20</v>
      </c>
      <c r="C46" s="14" t="s">
        <v>19</v>
      </c>
      <c r="D46" s="14" t="s">
        <v>25</v>
      </c>
      <c r="E46" s="16">
        <v>447.55</v>
      </c>
      <c r="F46" s="18">
        <v>15874.0</v>
      </c>
      <c r="G46" s="18">
        <v>235.0</v>
      </c>
      <c r="H46" s="18">
        <v>17.0</v>
      </c>
      <c r="I46" s="16">
        <v>1609.0</v>
      </c>
      <c r="J46" s="16">
        <v>3.6</v>
      </c>
      <c r="K46" s="20"/>
    </row>
    <row r="47" ht="22.5" customHeight="1">
      <c r="A47" s="12">
        <v>46098.0</v>
      </c>
      <c r="B47" s="13" t="s">
        <v>20</v>
      </c>
      <c r="C47" s="14" t="s">
        <v>19</v>
      </c>
      <c r="D47" s="14" t="s">
        <v>25</v>
      </c>
      <c r="E47" s="16">
        <v>335.36</v>
      </c>
      <c r="F47" s="18">
        <v>8524.0</v>
      </c>
      <c r="G47" s="18">
        <v>176.0</v>
      </c>
      <c r="H47" s="18">
        <v>14.0</v>
      </c>
      <c r="I47" s="16">
        <v>1140.29</v>
      </c>
      <c r="J47" s="16">
        <v>3.4</v>
      </c>
      <c r="K47" s="20"/>
    </row>
    <row r="48" ht="22.5" customHeight="1">
      <c r="A48" s="12">
        <v>46099.0</v>
      </c>
      <c r="B48" s="13" t="s">
        <v>20</v>
      </c>
      <c r="C48" s="14" t="s">
        <v>19</v>
      </c>
      <c r="D48" s="14" t="s">
        <v>25</v>
      </c>
      <c r="E48" s="16">
        <v>449.05</v>
      </c>
      <c r="F48" s="18">
        <v>18803.0</v>
      </c>
      <c r="G48" s="18">
        <v>236.0</v>
      </c>
      <c r="H48" s="18">
        <v>19.0</v>
      </c>
      <c r="I48" s="16">
        <v>1533.65</v>
      </c>
      <c r="J48" s="16">
        <v>3.42</v>
      </c>
      <c r="K48" s="20"/>
    </row>
    <row r="49" ht="22.5" customHeight="1">
      <c r="A49" s="12">
        <v>46100.0</v>
      </c>
      <c r="B49" s="13" t="s">
        <v>20</v>
      </c>
      <c r="C49" s="14" t="s">
        <v>19</v>
      </c>
      <c r="D49" s="14" t="s">
        <v>25</v>
      </c>
      <c r="E49" s="16">
        <v>410.56</v>
      </c>
      <c r="F49" s="18">
        <v>18283.0</v>
      </c>
      <c r="G49" s="18">
        <v>216.0</v>
      </c>
      <c r="H49" s="18">
        <v>16.0</v>
      </c>
      <c r="I49" s="16">
        <v>1443.7</v>
      </c>
      <c r="J49" s="16">
        <v>3.52</v>
      </c>
      <c r="K49" s="20"/>
    </row>
    <row r="50" ht="22.5" customHeight="1">
      <c r="A50" s="12">
        <v>46101.0</v>
      </c>
      <c r="B50" s="13" t="s">
        <v>20</v>
      </c>
      <c r="C50" s="14" t="s">
        <v>19</v>
      </c>
      <c r="D50" s="14" t="s">
        <v>25</v>
      </c>
      <c r="E50" s="16">
        <v>371.38</v>
      </c>
      <c r="F50" s="18">
        <v>15287.0</v>
      </c>
      <c r="G50" s="18">
        <v>195.0</v>
      </c>
      <c r="H50" s="18">
        <v>15.0</v>
      </c>
      <c r="I50" s="16">
        <v>1234.4</v>
      </c>
      <c r="J50" s="16">
        <v>3.32</v>
      </c>
      <c r="K50" s="20"/>
    </row>
    <row r="51" ht="22.5" customHeight="1">
      <c r="A51" s="12">
        <v>46102.0</v>
      </c>
      <c r="B51" s="13" t="s">
        <v>20</v>
      </c>
      <c r="C51" s="14" t="s">
        <v>19</v>
      </c>
      <c r="D51" s="14" t="s">
        <v>25</v>
      </c>
      <c r="E51" s="16">
        <v>363.09</v>
      </c>
      <c r="F51" s="18">
        <v>10353.0</v>
      </c>
      <c r="G51" s="18">
        <v>191.0</v>
      </c>
      <c r="H51" s="18">
        <v>13.0</v>
      </c>
      <c r="I51" s="16">
        <v>1238.83</v>
      </c>
      <c r="J51" s="16">
        <v>3.41</v>
      </c>
      <c r="K51" s="20"/>
    </row>
    <row r="52" ht="22.5" customHeight="1">
      <c r="A52" s="12">
        <v>46103.0</v>
      </c>
      <c r="B52" s="13" t="s">
        <v>20</v>
      </c>
      <c r="C52" s="14" t="s">
        <v>19</v>
      </c>
      <c r="D52" s="14" t="s">
        <v>25</v>
      </c>
      <c r="E52" s="16">
        <v>207.13</v>
      </c>
      <c r="F52" s="18">
        <v>5032.0</v>
      </c>
      <c r="G52" s="18">
        <v>109.0</v>
      </c>
      <c r="H52" s="18">
        <v>9.0</v>
      </c>
      <c r="I52" s="16">
        <v>735.42</v>
      </c>
      <c r="J52" s="16">
        <v>3.55</v>
      </c>
      <c r="K52" s="20"/>
    </row>
    <row r="53" ht="22.5" customHeight="1">
      <c r="A53" s="12">
        <v>46104.0</v>
      </c>
      <c r="B53" s="13" t="s">
        <v>20</v>
      </c>
      <c r="C53" s="14" t="s">
        <v>19</v>
      </c>
      <c r="D53" s="14" t="s">
        <v>25</v>
      </c>
      <c r="E53" s="16">
        <v>224.12</v>
      </c>
      <c r="F53" s="18">
        <v>7633.0</v>
      </c>
      <c r="G53" s="18">
        <v>117.0</v>
      </c>
      <c r="H53" s="18">
        <v>6.0</v>
      </c>
      <c r="I53" s="16">
        <v>796.68</v>
      </c>
      <c r="J53" s="16">
        <v>3.55</v>
      </c>
      <c r="K53" s="20"/>
    </row>
    <row r="54" ht="22.5" customHeight="1">
      <c r="A54" s="12">
        <v>46105.0</v>
      </c>
      <c r="B54" s="13" t="s">
        <v>20</v>
      </c>
      <c r="C54" s="14" t="s">
        <v>19</v>
      </c>
      <c r="D54" s="14" t="s">
        <v>25</v>
      </c>
      <c r="E54" s="16">
        <v>191.85</v>
      </c>
      <c r="F54" s="18">
        <v>5948.0</v>
      </c>
      <c r="G54" s="18">
        <v>100.0</v>
      </c>
      <c r="H54" s="18">
        <v>7.0</v>
      </c>
      <c r="I54" s="16">
        <v>740.37</v>
      </c>
      <c r="J54" s="16">
        <v>3.86</v>
      </c>
      <c r="K54" s="20"/>
    </row>
    <row r="55" ht="22.5" customHeight="1">
      <c r="A55" s="12">
        <v>46106.0</v>
      </c>
      <c r="B55" s="13" t="s">
        <v>20</v>
      </c>
      <c r="C55" s="14" t="s">
        <v>19</v>
      </c>
      <c r="D55" s="14" t="s">
        <v>25</v>
      </c>
      <c r="E55" s="16">
        <v>187.25</v>
      </c>
      <c r="F55" s="18">
        <v>4561.0</v>
      </c>
      <c r="G55" s="18">
        <v>98.0</v>
      </c>
      <c r="H55" s="18">
        <v>6.0</v>
      </c>
      <c r="I55" s="16">
        <v>702.31</v>
      </c>
      <c r="J55" s="16">
        <v>3.75</v>
      </c>
      <c r="K55" s="20"/>
    </row>
    <row r="56" ht="22.5" customHeight="1">
      <c r="A56" s="12">
        <v>46107.0</v>
      </c>
      <c r="B56" s="13" t="s">
        <v>20</v>
      </c>
      <c r="C56" s="14" t="s">
        <v>19</v>
      </c>
      <c r="D56" s="14" t="s">
        <v>25</v>
      </c>
      <c r="E56" s="16">
        <v>235.77</v>
      </c>
      <c r="F56" s="18">
        <v>5995.0</v>
      </c>
      <c r="G56" s="18">
        <v>124.0</v>
      </c>
      <c r="H56" s="18">
        <v>9.0</v>
      </c>
      <c r="I56" s="16">
        <v>877.37</v>
      </c>
      <c r="J56" s="16">
        <v>3.72</v>
      </c>
      <c r="K56" s="20"/>
    </row>
    <row r="57" ht="22.5" customHeight="1">
      <c r="A57" s="12">
        <v>46108.0</v>
      </c>
      <c r="B57" s="13" t="s">
        <v>20</v>
      </c>
      <c r="C57" s="14" t="s">
        <v>19</v>
      </c>
      <c r="D57" s="14" t="s">
        <v>25</v>
      </c>
      <c r="E57" s="16">
        <v>178.83</v>
      </c>
      <c r="F57" s="18">
        <v>8621.0</v>
      </c>
      <c r="G57" s="18">
        <v>94.0</v>
      </c>
      <c r="H57" s="18">
        <v>7.0</v>
      </c>
      <c r="I57" s="16">
        <v>712.54</v>
      </c>
      <c r="J57" s="16">
        <v>3.98</v>
      </c>
      <c r="K57" s="20"/>
    </row>
    <row r="58" ht="22.5" customHeight="1">
      <c r="A58" s="12">
        <v>46109.0</v>
      </c>
      <c r="B58" s="13" t="s">
        <v>20</v>
      </c>
      <c r="C58" s="14" t="s">
        <v>19</v>
      </c>
      <c r="D58" s="14" t="s">
        <v>25</v>
      </c>
      <c r="E58" s="16">
        <v>211.27</v>
      </c>
      <c r="F58" s="18">
        <v>7491.0</v>
      </c>
      <c r="G58" s="18">
        <v>111.0</v>
      </c>
      <c r="H58" s="18">
        <v>7.0</v>
      </c>
      <c r="I58" s="16">
        <v>769.86</v>
      </c>
      <c r="J58" s="16">
        <v>3.64</v>
      </c>
      <c r="K58" s="20"/>
    </row>
    <row r="59" ht="22.5" customHeight="1">
      <c r="A59" s="12">
        <v>46110.0</v>
      </c>
      <c r="B59" s="13" t="s">
        <v>20</v>
      </c>
      <c r="C59" s="14" t="s">
        <v>19</v>
      </c>
      <c r="D59" s="14" t="s">
        <v>25</v>
      </c>
      <c r="E59" s="16">
        <v>229.73</v>
      </c>
      <c r="F59" s="18">
        <v>6605.0</v>
      </c>
      <c r="G59" s="18">
        <v>120.0</v>
      </c>
      <c r="H59" s="18">
        <v>9.0</v>
      </c>
      <c r="I59" s="16">
        <v>878.91</v>
      </c>
      <c r="J59" s="16">
        <v>3.83</v>
      </c>
      <c r="K59" s="20"/>
    </row>
    <row r="60" ht="22.5" customHeight="1">
      <c r="A60" s="12">
        <v>46111.0</v>
      </c>
      <c r="B60" s="13" t="s">
        <v>20</v>
      </c>
      <c r="C60" s="14" t="s">
        <v>19</v>
      </c>
      <c r="D60" s="14" t="s">
        <v>25</v>
      </c>
      <c r="E60" s="16">
        <v>197.96</v>
      </c>
      <c r="F60" s="18">
        <v>8534.0</v>
      </c>
      <c r="G60" s="18">
        <v>104.0</v>
      </c>
      <c r="H60" s="18">
        <v>9.0</v>
      </c>
      <c r="I60" s="16">
        <v>726.71</v>
      </c>
      <c r="J60" s="16">
        <v>3.67</v>
      </c>
      <c r="K60" s="20"/>
    </row>
    <row r="61" ht="22.5" customHeight="1">
      <c r="A61" s="12">
        <v>46112.0</v>
      </c>
      <c r="B61" s="13" t="s">
        <v>20</v>
      </c>
      <c r="C61" s="14" t="s">
        <v>19</v>
      </c>
      <c r="D61" s="14" t="s">
        <v>25</v>
      </c>
      <c r="E61" s="16">
        <v>215.09</v>
      </c>
      <c r="F61" s="18">
        <v>9203.0</v>
      </c>
      <c r="G61" s="18">
        <v>113.0</v>
      </c>
      <c r="H61" s="18">
        <v>8.0</v>
      </c>
      <c r="I61" s="16">
        <v>799.29</v>
      </c>
      <c r="J61" s="16">
        <v>3.72</v>
      </c>
      <c r="K61" s="20"/>
    </row>
    <row r="62" ht="22.5" customHeight="1">
      <c r="A62" s="12">
        <v>46083.0</v>
      </c>
      <c r="B62" s="13" t="s">
        <v>20</v>
      </c>
      <c r="C62" s="14" t="s">
        <v>21</v>
      </c>
      <c r="D62" s="14" t="s">
        <v>26</v>
      </c>
      <c r="E62" s="16">
        <v>1655.56</v>
      </c>
      <c r="F62" s="18">
        <v>35375.0</v>
      </c>
      <c r="G62" s="18">
        <v>534.0</v>
      </c>
      <c r="H62" s="18">
        <v>91.0</v>
      </c>
      <c r="I62" s="16">
        <v>7578.79</v>
      </c>
      <c r="J62" s="16">
        <v>4.58</v>
      </c>
      <c r="K62" s="20"/>
    </row>
    <row r="63" ht="22.5" customHeight="1">
      <c r="A63" s="12">
        <v>46084.0</v>
      </c>
      <c r="B63" s="13" t="s">
        <v>20</v>
      </c>
      <c r="C63" s="14" t="s">
        <v>21</v>
      </c>
      <c r="D63" s="14" t="s">
        <v>26</v>
      </c>
      <c r="E63" s="16">
        <v>1715.56</v>
      </c>
      <c r="F63" s="18">
        <v>58524.0</v>
      </c>
      <c r="G63" s="18">
        <v>553.0</v>
      </c>
      <c r="H63" s="18">
        <v>80.0</v>
      </c>
      <c r="I63" s="16">
        <v>7541.08</v>
      </c>
      <c r="J63" s="16">
        <v>4.4</v>
      </c>
      <c r="K63" s="20"/>
    </row>
    <row r="64" ht="22.5" customHeight="1">
      <c r="A64" s="12">
        <v>46085.0</v>
      </c>
      <c r="B64" s="13" t="s">
        <v>20</v>
      </c>
      <c r="C64" s="14" t="s">
        <v>21</v>
      </c>
      <c r="D64" s="14" t="s">
        <v>26</v>
      </c>
      <c r="E64" s="16">
        <v>1926.77</v>
      </c>
      <c r="F64" s="18">
        <v>59655.0</v>
      </c>
      <c r="G64" s="18">
        <v>621.0</v>
      </c>
      <c r="H64" s="18">
        <v>94.0</v>
      </c>
      <c r="I64" s="16">
        <v>7890.84</v>
      </c>
      <c r="J64" s="16">
        <v>4.1</v>
      </c>
      <c r="K64" s="20"/>
    </row>
    <row r="65" ht="22.5" customHeight="1">
      <c r="A65" s="12">
        <v>46086.0</v>
      </c>
      <c r="B65" s="13" t="s">
        <v>20</v>
      </c>
      <c r="C65" s="14" t="s">
        <v>21</v>
      </c>
      <c r="D65" s="14" t="s">
        <v>26</v>
      </c>
      <c r="E65" s="16">
        <v>1763.02</v>
      </c>
      <c r="F65" s="18">
        <v>27023.0</v>
      </c>
      <c r="G65" s="18">
        <v>568.0</v>
      </c>
      <c r="H65" s="18">
        <v>59.0</v>
      </c>
      <c r="I65" s="16">
        <v>7560.33</v>
      </c>
      <c r="J65" s="16">
        <v>4.29</v>
      </c>
      <c r="K65" s="20"/>
    </row>
    <row r="66" ht="22.5" customHeight="1">
      <c r="A66" s="12">
        <v>46087.0</v>
      </c>
      <c r="B66" s="13" t="s">
        <v>20</v>
      </c>
      <c r="C66" s="14" t="s">
        <v>21</v>
      </c>
      <c r="D66" s="14" t="s">
        <v>26</v>
      </c>
      <c r="E66" s="16">
        <v>1645.2</v>
      </c>
      <c r="F66" s="18">
        <v>64680.0</v>
      </c>
      <c r="G66" s="18">
        <v>530.0</v>
      </c>
      <c r="H66" s="18">
        <v>68.0</v>
      </c>
      <c r="I66" s="16">
        <v>7313.81</v>
      </c>
      <c r="J66" s="16">
        <v>4.45</v>
      </c>
      <c r="K66" s="20"/>
    </row>
    <row r="67" ht="22.5" customHeight="1">
      <c r="A67" s="12">
        <v>46088.0</v>
      </c>
      <c r="B67" s="13" t="s">
        <v>20</v>
      </c>
      <c r="C67" s="14" t="s">
        <v>21</v>
      </c>
      <c r="D67" s="14" t="s">
        <v>26</v>
      </c>
      <c r="E67" s="16">
        <v>1208.94</v>
      </c>
      <c r="F67" s="18">
        <v>22243.0</v>
      </c>
      <c r="G67" s="18">
        <v>389.0</v>
      </c>
      <c r="H67" s="18">
        <v>51.0</v>
      </c>
      <c r="I67" s="16">
        <v>6160.52</v>
      </c>
      <c r="J67" s="16">
        <v>5.1</v>
      </c>
      <c r="K67" s="20"/>
    </row>
    <row r="68" ht="22.5" customHeight="1">
      <c r="A68" s="12">
        <v>46089.0</v>
      </c>
      <c r="B68" s="13" t="s">
        <v>20</v>
      </c>
      <c r="C68" s="14" t="s">
        <v>21</v>
      </c>
      <c r="D68" s="14" t="s">
        <v>26</v>
      </c>
      <c r="E68" s="16">
        <v>1295.83</v>
      </c>
      <c r="F68" s="18">
        <v>23594.0</v>
      </c>
      <c r="G68" s="18">
        <v>418.0</v>
      </c>
      <c r="H68" s="18">
        <v>75.0</v>
      </c>
      <c r="I68" s="16">
        <v>6425.94</v>
      </c>
      <c r="J68" s="16">
        <v>4.96</v>
      </c>
      <c r="K68" s="20"/>
    </row>
    <row r="69" ht="22.5" customHeight="1">
      <c r="A69" s="12">
        <v>46090.0</v>
      </c>
      <c r="B69" s="13" t="s">
        <v>20</v>
      </c>
      <c r="C69" s="14" t="s">
        <v>21</v>
      </c>
      <c r="D69" s="14" t="s">
        <v>26</v>
      </c>
      <c r="E69" s="16">
        <v>1120.32</v>
      </c>
      <c r="F69" s="18">
        <v>23320.0</v>
      </c>
      <c r="G69" s="18">
        <v>361.0</v>
      </c>
      <c r="H69" s="18">
        <v>63.0</v>
      </c>
      <c r="I69" s="16">
        <v>5883.49</v>
      </c>
      <c r="J69" s="16">
        <v>5.25</v>
      </c>
      <c r="K69" s="20"/>
    </row>
    <row r="70" ht="22.5" customHeight="1">
      <c r="A70" s="12">
        <v>46091.0</v>
      </c>
      <c r="B70" s="13" t="s">
        <v>20</v>
      </c>
      <c r="C70" s="14" t="s">
        <v>21</v>
      </c>
      <c r="D70" s="14" t="s">
        <v>26</v>
      </c>
      <c r="E70" s="16">
        <v>1318.88</v>
      </c>
      <c r="F70" s="18">
        <v>23622.0</v>
      </c>
      <c r="G70" s="18">
        <v>425.0</v>
      </c>
      <c r="H70" s="18">
        <v>72.0</v>
      </c>
      <c r="I70" s="16">
        <v>6645.86</v>
      </c>
      <c r="J70" s="16">
        <v>5.04</v>
      </c>
      <c r="K70" s="20"/>
    </row>
    <row r="71" ht="22.5" customHeight="1">
      <c r="A71" s="12">
        <v>46092.0</v>
      </c>
      <c r="B71" s="13" t="s">
        <v>20</v>
      </c>
      <c r="C71" s="14" t="s">
        <v>21</v>
      </c>
      <c r="D71" s="14" t="s">
        <v>26</v>
      </c>
      <c r="E71" s="16">
        <v>1032.53</v>
      </c>
      <c r="F71" s="18">
        <v>21026.0</v>
      </c>
      <c r="G71" s="18">
        <v>333.0</v>
      </c>
      <c r="H71" s="18">
        <v>48.0</v>
      </c>
      <c r="I71" s="16">
        <v>5149.07</v>
      </c>
      <c r="J71" s="16">
        <v>4.99</v>
      </c>
      <c r="K71" s="20"/>
    </row>
    <row r="72" ht="22.5" customHeight="1">
      <c r="A72" s="12">
        <v>46093.0</v>
      </c>
      <c r="B72" s="13" t="s">
        <v>20</v>
      </c>
      <c r="C72" s="14" t="s">
        <v>21</v>
      </c>
      <c r="D72" s="14" t="s">
        <v>26</v>
      </c>
      <c r="E72" s="16">
        <v>605.99</v>
      </c>
      <c r="F72" s="18">
        <v>11406.0</v>
      </c>
      <c r="G72" s="18">
        <v>195.0</v>
      </c>
      <c r="H72" s="18">
        <v>37.0</v>
      </c>
      <c r="I72" s="16">
        <v>3559.98</v>
      </c>
      <c r="J72" s="16">
        <v>5.87</v>
      </c>
      <c r="K72" s="20"/>
    </row>
    <row r="73" ht="22.5" customHeight="1">
      <c r="A73" s="12">
        <v>46094.0</v>
      </c>
      <c r="B73" s="13" t="s">
        <v>20</v>
      </c>
      <c r="C73" s="14" t="s">
        <v>21</v>
      </c>
      <c r="D73" s="14" t="s">
        <v>26</v>
      </c>
      <c r="E73" s="16">
        <v>518.06</v>
      </c>
      <c r="F73" s="18">
        <v>8278.0</v>
      </c>
      <c r="G73" s="18">
        <v>167.0</v>
      </c>
      <c r="H73" s="18">
        <v>34.0</v>
      </c>
      <c r="I73" s="16">
        <v>3041.95</v>
      </c>
      <c r="J73" s="16">
        <v>5.87</v>
      </c>
      <c r="K73" s="20"/>
    </row>
    <row r="74" ht="22.5" customHeight="1">
      <c r="A74" s="12">
        <v>46095.0</v>
      </c>
      <c r="B74" s="13" t="s">
        <v>20</v>
      </c>
      <c r="C74" s="14" t="s">
        <v>21</v>
      </c>
      <c r="D74" s="14" t="s">
        <v>26</v>
      </c>
      <c r="E74" s="16">
        <v>644.76</v>
      </c>
      <c r="F74" s="18">
        <v>17647.0</v>
      </c>
      <c r="G74" s="18">
        <v>207.0</v>
      </c>
      <c r="H74" s="18">
        <v>46.0</v>
      </c>
      <c r="I74" s="16">
        <v>3632.97</v>
      </c>
      <c r="J74" s="16">
        <v>5.63</v>
      </c>
      <c r="K74" s="20"/>
    </row>
    <row r="75" ht="22.5" customHeight="1">
      <c r="A75" s="12">
        <v>46096.0</v>
      </c>
      <c r="B75" s="13" t="s">
        <v>20</v>
      </c>
      <c r="C75" s="14" t="s">
        <v>21</v>
      </c>
      <c r="D75" s="14" t="s">
        <v>26</v>
      </c>
      <c r="E75" s="16">
        <v>556.52</v>
      </c>
      <c r="F75" s="18">
        <v>11383.0</v>
      </c>
      <c r="G75" s="18">
        <v>179.0</v>
      </c>
      <c r="H75" s="18">
        <v>38.0</v>
      </c>
      <c r="I75" s="16">
        <v>3314.89</v>
      </c>
      <c r="J75" s="16">
        <v>5.96</v>
      </c>
      <c r="K75" s="20"/>
    </row>
    <row r="76" ht="22.5" customHeight="1">
      <c r="A76" s="12">
        <v>46097.0</v>
      </c>
      <c r="B76" s="13" t="s">
        <v>20</v>
      </c>
      <c r="C76" s="14" t="s">
        <v>21</v>
      </c>
      <c r="D76" s="14" t="s">
        <v>26</v>
      </c>
      <c r="E76" s="16">
        <v>680.44</v>
      </c>
      <c r="F76" s="18">
        <v>11441.0</v>
      </c>
      <c r="G76" s="18">
        <v>219.0</v>
      </c>
      <c r="H76" s="18">
        <v>44.0</v>
      </c>
      <c r="I76" s="16">
        <v>4043.3</v>
      </c>
      <c r="J76" s="16">
        <v>5.94</v>
      </c>
      <c r="K76" s="20"/>
    </row>
    <row r="77" ht="22.5" customHeight="1">
      <c r="A77" s="12">
        <v>46098.0</v>
      </c>
      <c r="B77" s="13" t="s">
        <v>20</v>
      </c>
      <c r="C77" s="14" t="s">
        <v>21</v>
      </c>
      <c r="D77" s="14" t="s">
        <v>26</v>
      </c>
      <c r="E77" s="16">
        <v>663.08</v>
      </c>
      <c r="F77" s="18">
        <v>21862.0</v>
      </c>
      <c r="G77" s="18">
        <v>213.0</v>
      </c>
      <c r="H77" s="18">
        <v>43.0</v>
      </c>
      <c r="I77" s="16">
        <v>3776.98</v>
      </c>
      <c r="J77" s="16">
        <v>5.7</v>
      </c>
      <c r="K77" s="20"/>
    </row>
    <row r="78" ht="22.5" customHeight="1">
      <c r="A78" s="12">
        <v>46099.0</v>
      </c>
      <c r="B78" s="13" t="s">
        <v>20</v>
      </c>
      <c r="C78" s="14" t="s">
        <v>21</v>
      </c>
      <c r="D78" s="14" t="s">
        <v>26</v>
      </c>
      <c r="E78" s="16">
        <v>587.2</v>
      </c>
      <c r="F78" s="18">
        <v>11080.0</v>
      </c>
      <c r="G78" s="18">
        <v>189.0</v>
      </c>
      <c r="H78" s="18">
        <v>30.0</v>
      </c>
      <c r="I78" s="16">
        <v>3272.11</v>
      </c>
      <c r="J78" s="16">
        <v>5.57</v>
      </c>
      <c r="K78" s="20"/>
    </row>
    <row r="79" ht="22.5" customHeight="1">
      <c r="A79" s="12">
        <v>46100.0</v>
      </c>
      <c r="B79" s="13" t="s">
        <v>20</v>
      </c>
      <c r="C79" s="14" t="s">
        <v>21</v>
      </c>
      <c r="D79" s="14" t="s">
        <v>26</v>
      </c>
      <c r="E79" s="16">
        <v>518.54</v>
      </c>
      <c r="F79" s="18">
        <v>9485.0</v>
      </c>
      <c r="G79" s="18">
        <v>167.0</v>
      </c>
      <c r="H79" s="18">
        <v>38.0</v>
      </c>
      <c r="I79" s="16">
        <v>2862.86</v>
      </c>
      <c r="J79" s="16">
        <v>5.52</v>
      </c>
      <c r="K79" s="20"/>
    </row>
    <row r="80" ht="22.5" customHeight="1">
      <c r="A80" s="12">
        <v>46101.0</v>
      </c>
      <c r="B80" s="13" t="s">
        <v>20</v>
      </c>
      <c r="C80" s="14" t="s">
        <v>21</v>
      </c>
      <c r="D80" s="14" t="s">
        <v>26</v>
      </c>
      <c r="E80" s="16">
        <v>541.14</v>
      </c>
      <c r="F80" s="18">
        <v>9437.0</v>
      </c>
      <c r="G80" s="18">
        <v>174.0</v>
      </c>
      <c r="H80" s="18">
        <v>32.0</v>
      </c>
      <c r="I80" s="16">
        <v>3163.45</v>
      </c>
      <c r="J80" s="16">
        <v>5.85</v>
      </c>
      <c r="K80" s="20"/>
    </row>
    <row r="81" ht="22.5" customHeight="1">
      <c r="A81" s="12">
        <v>46102.0</v>
      </c>
      <c r="B81" s="13" t="s">
        <v>20</v>
      </c>
      <c r="C81" s="14" t="s">
        <v>21</v>
      </c>
      <c r="D81" s="14" t="s">
        <v>26</v>
      </c>
      <c r="E81" s="16">
        <v>689.78</v>
      </c>
      <c r="F81" s="18">
        <v>11879.0</v>
      </c>
      <c r="G81" s="18">
        <v>222.0</v>
      </c>
      <c r="H81" s="18">
        <v>40.0</v>
      </c>
      <c r="I81" s="16">
        <v>3736.03</v>
      </c>
      <c r="J81" s="16">
        <v>5.42</v>
      </c>
      <c r="K81" s="20"/>
    </row>
    <row r="82" ht="22.5" customHeight="1">
      <c r="A82" s="12">
        <v>46103.0</v>
      </c>
      <c r="B82" s="13" t="s">
        <v>20</v>
      </c>
      <c r="C82" s="14" t="s">
        <v>21</v>
      </c>
      <c r="D82" s="14" t="s">
        <v>26</v>
      </c>
      <c r="E82" s="16">
        <v>319.48</v>
      </c>
      <c r="F82" s="18">
        <v>4811.0</v>
      </c>
      <c r="G82" s="18">
        <v>103.0</v>
      </c>
      <c r="H82" s="18">
        <v>20.0</v>
      </c>
      <c r="I82" s="16">
        <v>1942.67</v>
      </c>
      <c r="J82" s="16">
        <v>6.08</v>
      </c>
      <c r="K82" s="20"/>
    </row>
    <row r="83" ht="22.5" customHeight="1">
      <c r="A83" s="12">
        <v>46104.0</v>
      </c>
      <c r="B83" s="13" t="s">
        <v>20</v>
      </c>
      <c r="C83" s="14" t="s">
        <v>21</v>
      </c>
      <c r="D83" s="14" t="s">
        <v>26</v>
      </c>
      <c r="E83" s="16">
        <v>354.97</v>
      </c>
      <c r="F83" s="18">
        <v>7522.0</v>
      </c>
      <c r="G83" s="18">
        <v>114.0</v>
      </c>
      <c r="H83" s="18">
        <v>19.0</v>
      </c>
      <c r="I83" s="16">
        <v>2252.59</v>
      </c>
      <c r="J83" s="16">
        <v>6.35</v>
      </c>
      <c r="K83" s="20"/>
    </row>
    <row r="84" ht="22.5" customHeight="1">
      <c r="A84" s="12">
        <v>46105.0</v>
      </c>
      <c r="B84" s="13" t="s">
        <v>20</v>
      </c>
      <c r="C84" s="14" t="s">
        <v>21</v>
      </c>
      <c r="D84" s="14" t="s">
        <v>26</v>
      </c>
      <c r="E84" s="16">
        <v>360.43</v>
      </c>
      <c r="F84" s="18">
        <v>7254.0</v>
      </c>
      <c r="G84" s="18">
        <v>116.0</v>
      </c>
      <c r="H84" s="18">
        <v>22.0</v>
      </c>
      <c r="I84" s="16">
        <v>2256.52</v>
      </c>
      <c r="J84" s="16">
        <v>6.26</v>
      </c>
      <c r="K84" s="20"/>
    </row>
    <row r="85" ht="22.5" customHeight="1">
      <c r="A85" s="12">
        <v>46106.0</v>
      </c>
      <c r="B85" s="13" t="s">
        <v>20</v>
      </c>
      <c r="C85" s="14" t="s">
        <v>21</v>
      </c>
      <c r="D85" s="14" t="s">
        <v>26</v>
      </c>
      <c r="E85" s="16">
        <v>298.12</v>
      </c>
      <c r="F85" s="18">
        <v>5312.0</v>
      </c>
      <c r="G85" s="18">
        <v>96.0</v>
      </c>
      <c r="H85" s="18">
        <v>15.0</v>
      </c>
      <c r="I85" s="16">
        <v>1733.87</v>
      </c>
      <c r="J85" s="16">
        <v>5.82</v>
      </c>
      <c r="K85" s="20"/>
    </row>
    <row r="86" ht="22.5" customHeight="1">
      <c r="A86" s="12">
        <v>46107.0</v>
      </c>
      <c r="B86" s="13" t="s">
        <v>20</v>
      </c>
      <c r="C86" s="14" t="s">
        <v>21</v>
      </c>
      <c r="D86" s="14" t="s">
        <v>26</v>
      </c>
      <c r="E86" s="16">
        <v>338.45</v>
      </c>
      <c r="F86" s="18">
        <v>5953.0</v>
      </c>
      <c r="G86" s="18">
        <v>109.0</v>
      </c>
      <c r="H86" s="18">
        <v>23.0</v>
      </c>
      <c r="I86" s="16">
        <v>1963.2</v>
      </c>
      <c r="J86" s="16">
        <v>5.8</v>
      </c>
      <c r="K86" s="20"/>
    </row>
    <row r="87" ht="22.5" customHeight="1">
      <c r="A87" s="12">
        <v>46108.0</v>
      </c>
      <c r="B87" s="13" t="s">
        <v>20</v>
      </c>
      <c r="C87" s="14" t="s">
        <v>21</v>
      </c>
      <c r="D87" s="14" t="s">
        <v>26</v>
      </c>
      <c r="E87" s="16">
        <v>324.44</v>
      </c>
      <c r="F87" s="18">
        <v>8671.0</v>
      </c>
      <c r="G87" s="18">
        <v>104.0</v>
      </c>
      <c r="H87" s="18">
        <v>24.0</v>
      </c>
      <c r="I87" s="16">
        <v>1984.21</v>
      </c>
      <c r="J87" s="16">
        <v>6.12</v>
      </c>
      <c r="K87" s="20"/>
    </row>
    <row r="88" ht="22.5" customHeight="1">
      <c r="A88" s="12">
        <v>46109.0</v>
      </c>
      <c r="B88" s="13" t="s">
        <v>20</v>
      </c>
      <c r="C88" s="14" t="s">
        <v>21</v>
      </c>
      <c r="D88" s="14" t="s">
        <v>26</v>
      </c>
      <c r="E88" s="16">
        <v>328.28</v>
      </c>
      <c r="F88" s="18">
        <v>6172.0</v>
      </c>
      <c r="G88" s="18">
        <v>105.0</v>
      </c>
      <c r="H88" s="18">
        <v>18.0</v>
      </c>
      <c r="I88" s="16">
        <v>1898.04</v>
      </c>
      <c r="J88" s="16">
        <v>5.78</v>
      </c>
      <c r="K88" s="20"/>
    </row>
    <row r="89" ht="22.5" customHeight="1">
      <c r="A89" s="12">
        <v>46110.0</v>
      </c>
      <c r="B89" s="13" t="s">
        <v>20</v>
      </c>
      <c r="C89" s="14" t="s">
        <v>21</v>
      </c>
      <c r="D89" s="14" t="s">
        <v>26</v>
      </c>
      <c r="E89" s="16">
        <v>306.69</v>
      </c>
      <c r="F89" s="18">
        <v>4711.0</v>
      </c>
      <c r="G89" s="18">
        <v>98.0</v>
      </c>
      <c r="H89" s="18">
        <v>20.0</v>
      </c>
      <c r="I89" s="16">
        <v>1781.02</v>
      </c>
      <c r="J89" s="16">
        <v>5.81</v>
      </c>
      <c r="K89" s="20"/>
    </row>
    <row r="90" ht="22.5" customHeight="1">
      <c r="A90" s="12">
        <v>46111.0</v>
      </c>
      <c r="B90" s="13" t="s">
        <v>20</v>
      </c>
      <c r="C90" s="14" t="s">
        <v>21</v>
      </c>
      <c r="D90" s="14" t="s">
        <v>26</v>
      </c>
      <c r="E90" s="16">
        <v>313.8</v>
      </c>
      <c r="F90" s="18">
        <v>5159.0</v>
      </c>
      <c r="G90" s="18">
        <v>101.0</v>
      </c>
      <c r="H90" s="18">
        <v>18.0</v>
      </c>
      <c r="I90" s="16">
        <v>1839.24</v>
      </c>
      <c r="J90" s="16">
        <v>5.86</v>
      </c>
      <c r="K90" s="20"/>
    </row>
    <row r="91" ht="22.5" customHeight="1">
      <c r="A91" s="12">
        <v>46112.0</v>
      </c>
      <c r="B91" s="13" t="s">
        <v>20</v>
      </c>
      <c r="C91" s="14" t="s">
        <v>21</v>
      </c>
      <c r="D91" s="14" t="s">
        <v>26</v>
      </c>
      <c r="E91" s="16">
        <v>367.22</v>
      </c>
      <c r="F91" s="18">
        <v>12338.0</v>
      </c>
      <c r="G91" s="18">
        <v>118.0</v>
      </c>
      <c r="H91" s="18">
        <v>22.0</v>
      </c>
      <c r="I91" s="16">
        <v>2194.42</v>
      </c>
      <c r="J91" s="16">
        <v>5.98</v>
      </c>
      <c r="K91" s="20"/>
    </row>
    <row r="92" ht="22.5" customHeight="1">
      <c r="A92" s="12">
        <v>46083.0</v>
      </c>
      <c r="B92" s="13" t="s">
        <v>20</v>
      </c>
      <c r="C92" s="14" t="s">
        <v>23</v>
      </c>
      <c r="D92" s="14" t="s">
        <v>25</v>
      </c>
      <c r="E92" s="16">
        <v>2208.2</v>
      </c>
      <c r="F92" s="18">
        <v>58523.0</v>
      </c>
      <c r="G92" s="18">
        <v>920.0</v>
      </c>
      <c r="H92" s="18">
        <v>121.0</v>
      </c>
      <c r="I92" s="16">
        <v>11479.06</v>
      </c>
      <c r="J92" s="16">
        <v>5.2</v>
      </c>
      <c r="K92" s="20"/>
    </row>
    <row r="93" ht="22.5" customHeight="1">
      <c r="A93" s="12">
        <v>46084.0</v>
      </c>
      <c r="B93" s="13" t="s">
        <v>20</v>
      </c>
      <c r="C93" s="14" t="s">
        <v>23</v>
      </c>
      <c r="D93" s="14" t="s">
        <v>25</v>
      </c>
      <c r="E93" s="16">
        <v>2448.91</v>
      </c>
      <c r="F93" s="18">
        <v>85305.0</v>
      </c>
      <c r="G93" s="18">
        <v>1020.0</v>
      </c>
      <c r="H93" s="18">
        <v>101.0</v>
      </c>
      <c r="I93" s="16">
        <v>11730.4</v>
      </c>
      <c r="J93" s="16">
        <v>4.79</v>
      </c>
      <c r="K93" s="20"/>
    </row>
    <row r="94" ht="22.5" customHeight="1">
      <c r="A94" s="12">
        <v>46085.0</v>
      </c>
      <c r="B94" s="13" t="s">
        <v>20</v>
      </c>
      <c r="C94" s="14" t="s">
        <v>23</v>
      </c>
      <c r="D94" s="14" t="s">
        <v>25</v>
      </c>
      <c r="E94" s="16">
        <v>2144.54</v>
      </c>
      <c r="F94" s="18">
        <v>61353.0</v>
      </c>
      <c r="G94" s="18">
        <v>893.0</v>
      </c>
      <c r="H94" s="18">
        <v>116.0</v>
      </c>
      <c r="I94" s="16">
        <v>11697.34</v>
      </c>
      <c r="J94" s="16">
        <v>5.45</v>
      </c>
      <c r="K94" s="20"/>
    </row>
    <row r="95" ht="22.5" customHeight="1">
      <c r="A95" s="12">
        <v>46086.0</v>
      </c>
      <c r="B95" s="13" t="s">
        <v>20</v>
      </c>
      <c r="C95" s="14" t="s">
        <v>23</v>
      </c>
      <c r="D95" s="14" t="s">
        <v>25</v>
      </c>
      <c r="E95" s="16">
        <v>2212.74</v>
      </c>
      <c r="F95" s="18">
        <v>86790.0</v>
      </c>
      <c r="G95" s="18">
        <v>921.0</v>
      </c>
      <c r="H95" s="18">
        <v>145.0</v>
      </c>
      <c r="I95" s="16">
        <v>10817.12</v>
      </c>
      <c r="J95" s="16">
        <v>4.89</v>
      </c>
      <c r="K95" s="20"/>
    </row>
    <row r="96" ht="22.5" customHeight="1">
      <c r="A96" s="12">
        <v>46087.0</v>
      </c>
      <c r="B96" s="13" t="s">
        <v>20</v>
      </c>
      <c r="C96" s="14" t="s">
        <v>23</v>
      </c>
      <c r="D96" s="14" t="s">
        <v>25</v>
      </c>
      <c r="E96" s="16">
        <v>2593.25</v>
      </c>
      <c r="F96" s="18">
        <v>68694.0</v>
      </c>
      <c r="G96" s="18">
        <v>1080.0</v>
      </c>
      <c r="H96" s="18">
        <v>100.0</v>
      </c>
      <c r="I96" s="16">
        <v>12167.69</v>
      </c>
      <c r="J96" s="16">
        <v>4.69</v>
      </c>
      <c r="K96" s="20"/>
    </row>
    <row r="97" ht="22.5" customHeight="1">
      <c r="A97" s="12">
        <v>46088.0</v>
      </c>
      <c r="B97" s="13" t="s">
        <v>20</v>
      </c>
      <c r="C97" s="14" t="s">
        <v>23</v>
      </c>
      <c r="D97" s="14" t="s">
        <v>25</v>
      </c>
      <c r="E97" s="16">
        <v>1565.08</v>
      </c>
      <c r="F97" s="18">
        <v>46552.0</v>
      </c>
      <c r="G97" s="18">
        <v>652.0</v>
      </c>
      <c r="H97" s="18">
        <v>120.0</v>
      </c>
      <c r="I97" s="16">
        <v>9973.63</v>
      </c>
      <c r="J97" s="16">
        <v>6.37</v>
      </c>
      <c r="K97" s="20"/>
    </row>
    <row r="98" ht="22.5" customHeight="1">
      <c r="A98" s="12">
        <v>46089.0</v>
      </c>
      <c r="B98" s="13" t="s">
        <v>20</v>
      </c>
      <c r="C98" s="14" t="s">
        <v>23</v>
      </c>
      <c r="D98" s="14" t="s">
        <v>25</v>
      </c>
      <c r="E98" s="16">
        <v>1596.36</v>
      </c>
      <c r="F98" s="18">
        <v>48478.0</v>
      </c>
      <c r="G98" s="18">
        <v>665.0</v>
      </c>
      <c r="H98" s="18">
        <v>78.0</v>
      </c>
      <c r="I98" s="16">
        <v>9470.82</v>
      </c>
      <c r="J98" s="16">
        <v>5.93</v>
      </c>
      <c r="K98" s="20"/>
    </row>
    <row r="99" ht="22.5" customHeight="1">
      <c r="A99" s="12">
        <v>46090.0</v>
      </c>
      <c r="B99" s="13" t="s">
        <v>20</v>
      </c>
      <c r="C99" s="14" t="s">
        <v>23</v>
      </c>
      <c r="D99" s="14" t="s">
        <v>25</v>
      </c>
      <c r="E99" s="16">
        <v>1450.07</v>
      </c>
      <c r="F99" s="18">
        <v>54052.0</v>
      </c>
      <c r="G99" s="18">
        <v>604.0</v>
      </c>
      <c r="H99" s="18">
        <v>106.0</v>
      </c>
      <c r="I99" s="16">
        <v>9399.98</v>
      </c>
      <c r="J99" s="16">
        <v>6.48</v>
      </c>
      <c r="K99" s="20"/>
    </row>
    <row r="100" ht="22.5" customHeight="1">
      <c r="A100" s="12">
        <v>46091.0</v>
      </c>
      <c r="B100" s="13" t="s">
        <v>20</v>
      </c>
      <c r="C100" s="14" t="s">
        <v>23</v>
      </c>
      <c r="D100" s="14" t="s">
        <v>25</v>
      </c>
      <c r="E100" s="16">
        <v>1836.83</v>
      </c>
      <c r="F100" s="18">
        <v>43182.0</v>
      </c>
      <c r="G100" s="18">
        <v>765.0</v>
      </c>
      <c r="H100" s="18">
        <v>123.0</v>
      </c>
      <c r="I100" s="16">
        <v>10261.8</v>
      </c>
      <c r="J100" s="16">
        <v>5.59</v>
      </c>
      <c r="K100" s="20"/>
    </row>
    <row r="101" ht="22.5" customHeight="1">
      <c r="A101" s="12">
        <v>46092.0</v>
      </c>
      <c r="B101" s="13" t="s">
        <v>20</v>
      </c>
      <c r="C101" s="14" t="s">
        <v>23</v>
      </c>
      <c r="D101" s="14" t="s">
        <v>25</v>
      </c>
      <c r="E101" s="16">
        <v>1730.69</v>
      </c>
      <c r="F101" s="18">
        <v>49397.0</v>
      </c>
      <c r="G101" s="18">
        <v>721.0</v>
      </c>
      <c r="H101" s="18">
        <v>128.0</v>
      </c>
      <c r="I101" s="16">
        <v>10364.79</v>
      </c>
      <c r="J101" s="16">
        <v>5.99</v>
      </c>
      <c r="K101" s="20"/>
    </row>
    <row r="102" ht="22.5" customHeight="1">
      <c r="A102" s="12">
        <v>46093.0</v>
      </c>
      <c r="B102" s="13" t="s">
        <v>20</v>
      </c>
      <c r="C102" s="14" t="s">
        <v>23</v>
      </c>
      <c r="D102" s="14" t="s">
        <v>25</v>
      </c>
      <c r="E102" s="16">
        <v>818.93</v>
      </c>
      <c r="F102" s="18">
        <v>17555.0</v>
      </c>
      <c r="G102" s="18">
        <v>341.0</v>
      </c>
      <c r="H102" s="18">
        <v>77.0</v>
      </c>
      <c r="I102" s="16">
        <v>5787.42</v>
      </c>
      <c r="J102" s="16">
        <v>7.07</v>
      </c>
      <c r="K102" s="20"/>
    </row>
    <row r="103" ht="22.5" customHeight="1">
      <c r="A103" s="12">
        <v>46094.0</v>
      </c>
      <c r="B103" s="13" t="s">
        <v>20</v>
      </c>
      <c r="C103" s="14" t="s">
        <v>23</v>
      </c>
      <c r="D103" s="14" t="s">
        <v>25</v>
      </c>
      <c r="E103" s="16">
        <v>831.8</v>
      </c>
      <c r="F103" s="18">
        <v>34958.0</v>
      </c>
      <c r="G103" s="18">
        <v>346.0</v>
      </c>
      <c r="H103" s="18">
        <v>65.0</v>
      </c>
      <c r="I103" s="16">
        <v>5822.56</v>
      </c>
      <c r="J103" s="16">
        <v>7.0</v>
      </c>
      <c r="K103" s="20"/>
    </row>
    <row r="104" ht="22.5" customHeight="1">
      <c r="A104" s="12">
        <v>46095.0</v>
      </c>
      <c r="B104" s="13" t="s">
        <v>20</v>
      </c>
      <c r="C104" s="14" t="s">
        <v>23</v>
      </c>
      <c r="D104" s="14" t="s">
        <v>25</v>
      </c>
      <c r="E104" s="16">
        <v>744.56</v>
      </c>
      <c r="F104" s="18">
        <v>16629.0</v>
      </c>
      <c r="G104" s="18">
        <v>310.0</v>
      </c>
      <c r="H104" s="18">
        <v>55.0</v>
      </c>
      <c r="I104" s="16">
        <v>5829.49</v>
      </c>
      <c r="J104" s="16">
        <v>7.83</v>
      </c>
      <c r="K104" s="20"/>
    </row>
    <row r="105" ht="22.5" customHeight="1">
      <c r="A105" s="12">
        <v>46096.0</v>
      </c>
      <c r="B105" s="13" t="s">
        <v>20</v>
      </c>
      <c r="C105" s="14" t="s">
        <v>23</v>
      </c>
      <c r="D105" s="14" t="s">
        <v>25</v>
      </c>
      <c r="E105" s="16">
        <v>845.04</v>
      </c>
      <c r="F105" s="18">
        <v>16747.0</v>
      </c>
      <c r="G105" s="18">
        <v>352.0</v>
      </c>
      <c r="H105" s="18">
        <v>66.0</v>
      </c>
      <c r="I105" s="16">
        <v>5909.48</v>
      </c>
      <c r="J105" s="16">
        <v>6.99</v>
      </c>
      <c r="K105" s="20"/>
    </row>
    <row r="106" ht="22.5" customHeight="1">
      <c r="A106" s="12">
        <v>46097.0</v>
      </c>
      <c r="B106" s="13" t="s">
        <v>20</v>
      </c>
      <c r="C106" s="14" t="s">
        <v>23</v>
      </c>
      <c r="D106" s="14" t="s">
        <v>25</v>
      </c>
      <c r="E106" s="16">
        <v>885.62</v>
      </c>
      <c r="F106" s="18">
        <v>38701.0</v>
      </c>
      <c r="G106" s="18">
        <v>369.0</v>
      </c>
      <c r="H106" s="18">
        <v>66.0</v>
      </c>
      <c r="I106" s="16">
        <v>6160.84</v>
      </c>
      <c r="J106" s="16">
        <v>6.96</v>
      </c>
      <c r="K106" s="20"/>
    </row>
    <row r="107" ht="22.5" customHeight="1">
      <c r="A107" s="12">
        <v>46098.0</v>
      </c>
      <c r="B107" s="13" t="s">
        <v>20</v>
      </c>
      <c r="C107" s="14" t="s">
        <v>23</v>
      </c>
      <c r="D107" s="14" t="s">
        <v>25</v>
      </c>
      <c r="E107" s="16">
        <v>745.7</v>
      </c>
      <c r="F107" s="18">
        <v>16778.0</v>
      </c>
      <c r="G107" s="18">
        <v>310.0</v>
      </c>
      <c r="H107" s="18">
        <v>59.0</v>
      </c>
      <c r="I107" s="16">
        <v>5356.21</v>
      </c>
      <c r="J107" s="16">
        <v>7.18</v>
      </c>
      <c r="K107" s="20"/>
    </row>
    <row r="108" ht="22.5" customHeight="1">
      <c r="A108" s="12">
        <v>46099.0</v>
      </c>
      <c r="B108" s="13" t="s">
        <v>20</v>
      </c>
      <c r="C108" s="14" t="s">
        <v>23</v>
      </c>
      <c r="D108" s="14" t="s">
        <v>25</v>
      </c>
      <c r="E108" s="16">
        <v>735.22</v>
      </c>
      <c r="F108" s="18">
        <v>17479.0</v>
      </c>
      <c r="G108" s="18">
        <v>306.0</v>
      </c>
      <c r="H108" s="18">
        <v>60.0</v>
      </c>
      <c r="I108" s="16">
        <v>5454.61</v>
      </c>
      <c r="J108" s="16">
        <v>7.42</v>
      </c>
      <c r="K108" s="20"/>
    </row>
    <row r="109" ht="22.5" customHeight="1">
      <c r="A109" s="12">
        <v>46100.0</v>
      </c>
      <c r="B109" s="13" t="s">
        <v>20</v>
      </c>
      <c r="C109" s="14" t="s">
        <v>23</v>
      </c>
      <c r="D109" s="14" t="s">
        <v>25</v>
      </c>
      <c r="E109" s="16">
        <v>825.38</v>
      </c>
      <c r="F109" s="18">
        <v>22348.0</v>
      </c>
      <c r="G109" s="18">
        <v>343.0</v>
      </c>
      <c r="H109" s="18">
        <v>51.0</v>
      </c>
      <c r="I109" s="16">
        <v>5785.61</v>
      </c>
      <c r="J109" s="16">
        <v>7.01</v>
      </c>
      <c r="K109" s="20"/>
    </row>
    <row r="110" ht="22.5" customHeight="1">
      <c r="A110" s="12">
        <v>46101.0</v>
      </c>
      <c r="B110" s="13" t="s">
        <v>20</v>
      </c>
      <c r="C110" s="14" t="s">
        <v>23</v>
      </c>
      <c r="D110" s="14" t="s">
        <v>25</v>
      </c>
      <c r="E110" s="16">
        <v>733.03</v>
      </c>
      <c r="F110" s="18">
        <v>22681.0</v>
      </c>
      <c r="G110" s="18">
        <v>305.0</v>
      </c>
      <c r="H110" s="18">
        <v>55.0</v>
      </c>
      <c r="I110" s="16">
        <v>5138.54</v>
      </c>
      <c r="J110" s="16">
        <v>7.01</v>
      </c>
      <c r="K110" s="20"/>
    </row>
    <row r="111" ht="22.5" customHeight="1">
      <c r="A111" s="12">
        <v>46102.0</v>
      </c>
      <c r="B111" s="13" t="s">
        <v>20</v>
      </c>
      <c r="C111" s="14" t="s">
        <v>23</v>
      </c>
      <c r="D111" s="14" t="s">
        <v>25</v>
      </c>
      <c r="E111" s="16">
        <v>801.24</v>
      </c>
      <c r="F111" s="18">
        <v>22563.0</v>
      </c>
      <c r="G111" s="18">
        <v>333.0</v>
      </c>
      <c r="H111" s="18">
        <v>47.0</v>
      </c>
      <c r="I111" s="16">
        <v>5755.76</v>
      </c>
      <c r="J111" s="16">
        <v>7.18</v>
      </c>
      <c r="K111" s="20"/>
    </row>
    <row r="112" ht="22.5" customHeight="1">
      <c r="A112" s="12">
        <v>46103.0</v>
      </c>
      <c r="B112" s="13" t="s">
        <v>20</v>
      </c>
      <c r="C112" s="14" t="s">
        <v>23</v>
      </c>
      <c r="D112" s="14" t="s">
        <v>25</v>
      </c>
      <c r="E112" s="16">
        <v>405.69</v>
      </c>
      <c r="F112" s="18">
        <v>8124.0</v>
      </c>
      <c r="G112" s="18">
        <v>169.0</v>
      </c>
      <c r="H112" s="18">
        <v>36.0</v>
      </c>
      <c r="I112" s="16">
        <v>3197.87</v>
      </c>
      <c r="J112" s="16">
        <v>7.88</v>
      </c>
      <c r="K112" s="20"/>
    </row>
    <row r="113" ht="22.5" customHeight="1">
      <c r="A113" s="12">
        <v>46104.0</v>
      </c>
      <c r="B113" s="13" t="s">
        <v>20</v>
      </c>
      <c r="C113" s="14" t="s">
        <v>23</v>
      </c>
      <c r="D113" s="14" t="s">
        <v>25</v>
      </c>
      <c r="E113" s="16">
        <v>376.75</v>
      </c>
      <c r="F113" s="18">
        <v>10946.0</v>
      </c>
      <c r="G113" s="18">
        <v>156.0</v>
      </c>
      <c r="H113" s="18">
        <v>32.0</v>
      </c>
      <c r="I113" s="16">
        <v>2825.82</v>
      </c>
      <c r="J113" s="16">
        <v>7.5</v>
      </c>
      <c r="K113" s="20"/>
    </row>
    <row r="114" ht="22.5" customHeight="1">
      <c r="A114" s="12">
        <v>46105.0</v>
      </c>
      <c r="B114" s="13" t="s">
        <v>20</v>
      </c>
      <c r="C114" s="14" t="s">
        <v>23</v>
      </c>
      <c r="D114" s="14" t="s">
        <v>25</v>
      </c>
      <c r="E114" s="16">
        <v>415.19</v>
      </c>
      <c r="F114" s="18">
        <v>18066.0</v>
      </c>
      <c r="G114" s="18">
        <v>172.0</v>
      </c>
      <c r="H114" s="18">
        <v>39.0</v>
      </c>
      <c r="I114" s="16">
        <v>3474.98</v>
      </c>
      <c r="J114" s="16">
        <v>8.37</v>
      </c>
      <c r="K114" s="20"/>
    </row>
    <row r="115" ht="22.5" customHeight="1">
      <c r="A115" s="12">
        <v>46106.0</v>
      </c>
      <c r="B115" s="13" t="s">
        <v>20</v>
      </c>
      <c r="C115" s="14" t="s">
        <v>23</v>
      </c>
      <c r="D115" s="14" t="s">
        <v>25</v>
      </c>
      <c r="E115" s="16">
        <v>477.55</v>
      </c>
      <c r="F115" s="18">
        <v>12151.0</v>
      </c>
      <c r="G115" s="18">
        <v>198.0</v>
      </c>
      <c r="H115" s="18">
        <v>40.0</v>
      </c>
      <c r="I115" s="16">
        <v>3557.71</v>
      </c>
      <c r="J115" s="16">
        <v>7.45</v>
      </c>
      <c r="K115" s="20"/>
    </row>
    <row r="116" ht="22.5" customHeight="1">
      <c r="A116" s="12">
        <v>46107.0</v>
      </c>
      <c r="B116" s="13" t="s">
        <v>20</v>
      </c>
      <c r="C116" s="14" t="s">
        <v>23</v>
      </c>
      <c r="D116" s="14" t="s">
        <v>25</v>
      </c>
      <c r="E116" s="16">
        <v>442.19</v>
      </c>
      <c r="F116" s="18">
        <v>12124.0</v>
      </c>
      <c r="G116" s="18">
        <v>184.0</v>
      </c>
      <c r="H116" s="18">
        <v>44.0</v>
      </c>
      <c r="I116" s="16">
        <v>3484.36</v>
      </c>
      <c r="J116" s="16">
        <v>7.88</v>
      </c>
      <c r="K116" s="20"/>
    </row>
    <row r="117" ht="22.5" customHeight="1">
      <c r="A117" s="12">
        <v>46108.0</v>
      </c>
      <c r="B117" s="13" t="s">
        <v>20</v>
      </c>
      <c r="C117" s="14" t="s">
        <v>23</v>
      </c>
      <c r="D117" s="14" t="s">
        <v>25</v>
      </c>
      <c r="E117" s="16">
        <v>397.98</v>
      </c>
      <c r="F117" s="18">
        <v>7988.0</v>
      </c>
      <c r="G117" s="18">
        <v>165.0</v>
      </c>
      <c r="H117" s="18">
        <v>33.0</v>
      </c>
      <c r="I117" s="16">
        <v>3334.65</v>
      </c>
      <c r="J117" s="16">
        <v>8.38</v>
      </c>
      <c r="K117" s="20"/>
    </row>
    <row r="118" ht="22.5" customHeight="1">
      <c r="A118" s="12">
        <v>46109.0</v>
      </c>
      <c r="B118" s="13" t="s">
        <v>20</v>
      </c>
      <c r="C118" s="14" t="s">
        <v>23</v>
      </c>
      <c r="D118" s="14" t="s">
        <v>25</v>
      </c>
      <c r="E118" s="16">
        <v>377.6</v>
      </c>
      <c r="F118" s="18">
        <v>19138.0</v>
      </c>
      <c r="G118" s="18">
        <v>157.0</v>
      </c>
      <c r="H118" s="18">
        <v>36.0</v>
      </c>
      <c r="I118" s="16">
        <v>3113.72</v>
      </c>
      <c r="J118" s="16">
        <v>8.25</v>
      </c>
      <c r="K118" s="20"/>
    </row>
    <row r="119" ht="22.5" customHeight="1">
      <c r="A119" s="12">
        <v>46110.0</v>
      </c>
      <c r="B119" s="13" t="s">
        <v>20</v>
      </c>
      <c r="C119" s="14" t="s">
        <v>23</v>
      </c>
      <c r="D119" s="14" t="s">
        <v>25</v>
      </c>
      <c r="E119" s="16">
        <v>383.07</v>
      </c>
      <c r="F119" s="18">
        <v>8875.0</v>
      </c>
      <c r="G119" s="18">
        <v>159.0</v>
      </c>
      <c r="H119" s="18">
        <v>28.0</v>
      </c>
      <c r="I119" s="16">
        <v>3190.65</v>
      </c>
      <c r="J119" s="16">
        <v>8.33</v>
      </c>
      <c r="K119" s="20"/>
    </row>
    <row r="120" ht="22.5" customHeight="1">
      <c r="A120" s="12">
        <v>46111.0</v>
      </c>
      <c r="B120" s="13" t="s">
        <v>20</v>
      </c>
      <c r="C120" s="14" t="s">
        <v>23</v>
      </c>
      <c r="D120" s="14" t="s">
        <v>25</v>
      </c>
      <c r="E120" s="16">
        <v>500.32</v>
      </c>
      <c r="F120" s="18">
        <v>12841.0</v>
      </c>
      <c r="G120" s="18">
        <v>208.0</v>
      </c>
      <c r="H120" s="18">
        <v>55.0</v>
      </c>
      <c r="I120" s="16">
        <v>4099.29</v>
      </c>
      <c r="J120" s="16">
        <v>8.19</v>
      </c>
      <c r="K120" s="20"/>
    </row>
    <row r="121" ht="22.5" customHeight="1">
      <c r="A121" s="12">
        <v>46112.0</v>
      </c>
      <c r="B121" s="13" t="s">
        <v>20</v>
      </c>
      <c r="C121" s="14" t="s">
        <v>23</v>
      </c>
      <c r="D121" s="14" t="s">
        <v>25</v>
      </c>
      <c r="E121" s="16">
        <v>470.46</v>
      </c>
      <c r="F121" s="18">
        <v>12740.0</v>
      </c>
      <c r="G121" s="18">
        <v>196.0</v>
      </c>
      <c r="H121" s="18">
        <v>53.0</v>
      </c>
      <c r="I121" s="16">
        <v>3757.83</v>
      </c>
      <c r="J121" s="16">
        <v>7.99</v>
      </c>
      <c r="K121" s="20"/>
    </row>
    <row r="122">
      <c r="E122" s="4"/>
      <c r="F122" s="6"/>
      <c r="G122" s="6"/>
      <c r="H122" s="6"/>
      <c r="I122" s="4"/>
      <c r="J122" s="4"/>
    </row>
    <row r="123">
      <c r="E123" s="4"/>
      <c r="F123" s="6"/>
      <c r="G123" s="6"/>
      <c r="H123" s="6"/>
      <c r="I123" s="4"/>
      <c r="J123" s="4"/>
    </row>
    <row r="124">
      <c r="E124" s="4"/>
      <c r="F124" s="6"/>
      <c r="G124" s="6"/>
      <c r="H124" s="6"/>
      <c r="I124" s="4"/>
      <c r="J124" s="4"/>
    </row>
    <row r="125">
      <c r="E125" s="4"/>
      <c r="F125" s="6"/>
      <c r="G125" s="6"/>
      <c r="H125" s="6"/>
      <c r="I125" s="4"/>
      <c r="J125" s="4"/>
    </row>
    <row r="126">
      <c r="E126" s="4"/>
      <c r="F126" s="6"/>
      <c r="G126" s="6"/>
      <c r="H126" s="6"/>
      <c r="I126" s="4"/>
      <c r="J126" s="4"/>
    </row>
    <row r="127">
      <c r="E127" s="4"/>
      <c r="F127" s="6"/>
      <c r="G127" s="6"/>
      <c r="H127" s="6"/>
      <c r="I127" s="4"/>
      <c r="J127" s="4"/>
    </row>
    <row r="128">
      <c r="E128" s="4"/>
      <c r="F128" s="6"/>
      <c r="G128" s="6"/>
      <c r="H128" s="6"/>
      <c r="I128" s="4"/>
      <c r="J128" s="4"/>
    </row>
    <row r="129">
      <c r="E129" s="4"/>
      <c r="F129" s="6"/>
      <c r="G129" s="6"/>
      <c r="H129" s="6"/>
      <c r="I129" s="4"/>
      <c r="J129" s="4"/>
    </row>
    <row r="130">
      <c r="E130" s="4"/>
      <c r="F130" s="6"/>
      <c r="G130" s="6"/>
      <c r="H130" s="6"/>
      <c r="I130" s="4"/>
      <c r="J130" s="4"/>
    </row>
    <row r="131">
      <c r="E131" s="4"/>
      <c r="F131" s="6"/>
      <c r="G131" s="6"/>
      <c r="H131" s="6"/>
      <c r="I131" s="4"/>
      <c r="J131" s="4"/>
    </row>
    <row r="132">
      <c r="E132" s="4"/>
      <c r="F132" s="6"/>
      <c r="G132" s="6"/>
      <c r="H132" s="6"/>
      <c r="I132" s="4"/>
      <c r="J132" s="4"/>
    </row>
    <row r="133">
      <c r="E133" s="4"/>
      <c r="F133" s="6"/>
      <c r="G133" s="6"/>
      <c r="H133" s="6"/>
      <c r="I133" s="4"/>
      <c r="J133" s="4"/>
    </row>
    <row r="134">
      <c r="E134" s="4"/>
      <c r="F134" s="6"/>
      <c r="G134" s="6"/>
      <c r="H134" s="6"/>
      <c r="I134" s="4"/>
      <c r="J134" s="4"/>
    </row>
    <row r="135">
      <c r="E135" s="4"/>
      <c r="F135" s="6"/>
      <c r="G135" s="6"/>
      <c r="H135" s="6"/>
      <c r="I135" s="4"/>
      <c r="J135" s="4"/>
    </row>
    <row r="136">
      <c r="E136" s="4"/>
      <c r="F136" s="6"/>
      <c r="G136" s="6"/>
      <c r="H136" s="6"/>
      <c r="I136" s="4"/>
      <c r="J136" s="4"/>
    </row>
    <row r="137">
      <c r="E137" s="4"/>
      <c r="F137" s="6"/>
      <c r="G137" s="6"/>
      <c r="H137" s="6"/>
      <c r="I137" s="4"/>
      <c r="J137" s="4"/>
    </row>
    <row r="138">
      <c r="E138" s="4"/>
      <c r="F138" s="6"/>
      <c r="G138" s="6"/>
      <c r="H138" s="6"/>
      <c r="I138" s="4"/>
      <c r="J138" s="4"/>
    </row>
    <row r="139">
      <c r="E139" s="4"/>
      <c r="F139" s="6"/>
      <c r="G139" s="6"/>
      <c r="H139" s="6"/>
      <c r="I139" s="4"/>
      <c r="J139" s="4"/>
    </row>
    <row r="140">
      <c r="E140" s="4"/>
      <c r="F140" s="6"/>
      <c r="G140" s="6"/>
      <c r="H140" s="6"/>
      <c r="I140" s="4"/>
      <c r="J140" s="4"/>
    </row>
    <row r="141">
      <c r="E141" s="4"/>
      <c r="F141" s="6"/>
      <c r="G141" s="6"/>
      <c r="H141" s="6"/>
      <c r="I141" s="4"/>
      <c r="J141" s="4"/>
    </row>
    <row r="142">
      <c r="E142" s="4"/>
      <c r="F142" s="6"/>
      <c r="G142" s="6"/>
      <c r="H142" s="6"/>
      <c r="I142" s="4"/>
      <c r="J142" s="4"/>
    </row>
    <row r="143">
      <c r="E143" s="4"/>
      <c r="F143" s="6"/>
      <c r="G143" s="6"/>
      <c r="H143" s="6"/>
      <c r="I143" s="4"/>
      <c r="J143" s="4"/>
    </row>
    <row r="144">
      <c r="E144" s="4"/>
      <c r="F144" s="6"/>
      <c r="G144" s="6"/>
      <c r="H144" s="6"/>
      <c r="I144" s="4"/>
      <c r="J144" s="4"/>
    </row>
    <row r="145">
      <c r="E145" s="4"/>
      <c r="F145" s="6"/>
      <c r="G145" s="6"/>
      <c r="H145" s="6"/>
      <c r="I145" s="4"/>
      <c r="J145" s="4"/>
    </row>
    <row r="146">
      <c r="E146" s="4"/>
      <c r="F146" s="6"/>
      <c r="G146" s="6"/>
      <c r="H146" s="6"/>
      <c r="I146" s="4"/>
      <c r="J146" s="4"/>
    </row>
    <row r="147">
      <c r="E147" s="4"/>
      <c r="F147" s="6"/>
      <c r="G147" s="6"/>
      <c r="H147" s="6"/>
      <c r="I147" s="4"/>
      <c r="J147" s="4"/>
    </row>
    <row r="148">
      <c r="E148" s="4"/>
      <c r="F148" s="6"/>
      <c r="G148" s="6"/>
      <c r="H148" s="6"/>
      <c r="I148" s="4"/>
      <c r="J148" s="4"/>
    </row>
    <row r="149">
      <c r="E149" s="4"/>
      <c r="F149" s="6"/>
      <c r="G149" s="6"/>
      <c r="H149" s="6"/>
      <c r="I149" s="4"/>
      <c r="J149" s="4"/>
    </row>
    <row r="150">
      <c r="E150" s="4"/>
      <c r="F150" s="6"/>
      <c r="G150" s="6"/>
      <c r="H150" s="6"/>
      <c r="I150" s="4"/>
      <c r="J150" s="4"/>
    </row>
    <row r="151">
      <c r="E151" s="4"/>
      <c r="F151" s="6"/>
      <c r="G151" s="6"/>
      <c r="H151" s="6"/>
      <c r="I151" s="4"/>
      <c r="J151" s="4"/>
    </row>
    <row r="152">
      <c r="E152" s="4"/>
      <c r="F152" s="6"/>
      <c r="G152" s="6"/>
      <c r="H152" s="6"/>
      <c r="I152" s="4"/>
      <c r="J152" s="4"/>
    </row>
    <row r="153">
      <c r="E153" s="4"/>
      <c r="F153" s="6"/>
      <c r="G153" s="6"/>
      <c r="H153" s="6"/>
      <c r="I153" s="4"/>
      <c r="J153" s="4"/>
    </row>
    <row r="154">
      <c r="E154" s="4"/>
      <c r="F154" s="6"/>
      <c r="G154" s="6"/>
      <c r="H154" s="6"/>
      <c r="I154" s="4"/>
      <c r="J154" s="4"/>
    </row>
    <row r="155">
      <c r="E155" s="4"/>
      <c r="F155" s="6"/>
      <c r="G155" s="6"/>
      <c r="H155" s="6"/>
      <c r="I155" s="4"/>
      <c r="J155" s="4"/>
    </row>
    <row r="156">
      <c r="E156" s="4"/>
      <c r="F156" s="6"/>
      <c r="G156" s="6"/>
      <c r="H156" s="6"/>
      <c r="I156" s="4"/>
      <c r="J156" s="4"/>
    </row>
    <row r="157">
      <c r="E157" s="4"/>
      <c r="F157" s="6"/>
      <c r="G157" s="6"/>
      <c r="H157" s="6"/>
      <c r="I157" s="4"/>
      <c r="J157" s="4"/>
    </row>
    <row r="158">
      <c r="E158" s="4"/>
      <c r="F158" s="6"/>
      <c r="G158" s="6"/>
      <c r="H158" s="6"/>
      <c r="I158" s="4"/>
      <c r="J158" s="4"/>
    </row>
    <row r="159">
      <c r="E159" s="4"/>
      <c r="F159" s="6"/>
      <c r="G159" s="6"/>
      <c r="H159" s="6"/>
      <c r="I159" s="4"/>
      <c r="J159" s="4"/>
    </row>
    <row r="160">
      <c r="E160" s="4"/>
      <c r="F160" s="6"/>
      <c r="G160" s="6"/>
      <c r="H160" s="6"/>
      <c r="I160" s="4"/>
      <c r="J160" s="4"/>
    </row>
    <row r="161">
      <c r="E161" s="4"/>
      <c r="F161" s="6"/>
      <c r="G161" s="6"/>
      <c r="H161" s="6"/>
      <c r="I161" s="4"/>
      <c r="J161" s="4"/>
    </row>
    <row r="162">
      <c r="E162" s="4"/>
      <c r="F162" s="6"/>
      <c r="G162" s="6"/>
      <c r="H162" s="6"/>
      <c r="I162" s="4"/>
      <c r="J162" s="4"/>
    </row>
    <row r="163">
      <c r="E163" s="4"/>
      <c r="F163" s="6"/>
      <c r="G163" s="6"/>
      <c r="H163" s="6"/>
      <c r="I163" s="4"/>
      <c r="J163" s="4"/>
    </row>
    <row r="164">
      <c r="E164" s="4"/>
      <c r="F164" s="6"/>
      <c r="G164" s="6"/>
      <c r="H164" s="6"/>
      <c r="I164" s="4"/>
      <c r="J164" s="4"/>
    </row>
    <row r="165">
      <c r="E165" s="4"/>
      <c r="F165" s="6"/>
      <c r="G165" s="6"/>
      <c r="H165" s="6"/>
      <c r="I165" s="4"/>
      <c r="J165" s="4"/>
    </row>
    <row r="166">
      <c r="E166" s="4"/>
      <c r="F166" s="6"/>
      <c r="G166" s="6"/>
      <c r="H166" s="6"/>
      <c r="I166" s="4"/>
      <c r="J166" s="4"/>
    </row>
    <row r="167">
      <c r="E167" s="4"/>
      <c r="F167" s="6"/>
      <c r="G167" s="6"/>
      <c r="H167" s="6"/>
      <c r="I167" s="4"/>
      <c r="J167" s="4"/>
    </row>
    <row r="168">
      <c r="E168" s="4"/>
      <c r="F168" s="6"/>
      <c r="G168" s="6"/>
      <c r="H168" s="6"/>
      <c r="I168" s="4"/>
      <c r="J168" s="4"/>
    </row>
    <row r="169">
      <c r="E169" s="4"/>
      <c r="F169" s="6"/>
      <c r="G169" s="6"/>
      <c r="H169" s="6"/>
      <c r="I169" s="4"/>
      <c r="J169" s="4"/>
    </row>
    <row r="170">
      <c r="E170" s="4"/>
      <c r="F170" s="6"/>
      <c r="G170" s="6"/>
      <c r="H170" s="6"/>
      <c r="I170" s="4"/>
      <c r="J170" s="4"/>
    </row>
    <row r="171">
      <c r="E171" s="4"/>
      <c r="F171" s="6"/>
      <c r="G171" s="6"/>
      <c r="H171" s="6"/>
      <c r="I171" s="4"/>
      <c r="J171" s="4"/>
    </row>
    <row r="172">
      <c r="E172" s="4"/>
      <c r="F172" s="6"/>
      <c r="G172" s="6"/>
      <c r="H172" s="6"/>
      <c r="I172" s="4"/>
      <c r="J172" s="4"/>
    </row>
    <row r="173">
      <c r="E173" s="4"/>
      <c r="F173" s="6"/>
      <c r="G173" s="6"/>
      <c r="H173" s="6"/>
      <c r="I173" s="4"/>
      <c r="J173" s="4"/>
    </row>
    <row r="174">
      <c r="E174" s="4"/>
      <c r="F174" s="6"/>
      <c r="G174" s="6"/>
      <c r="H174" s="6"/>
      <c r="I174" s="4"/>
      <c r="J174" s="4"/>
    </row>
    <row r="175">
      <c r="E175" s="4"/>
      <c r="F175" s="6"/>
      <c r="G175" s="6"/>
      <c r="H175" s="6"/>
      <c r="I175" s="4"/>
      <c r="J175" s="4"/>
    </row>
    <row r="176">
      <c r="E176" s="4"/>
      <c r="F176" s="6"/>
      <c r="G176" s="6"/>
      <c r="H176" s="6"/>
      <c r="I176" s="4"/>
      <c r="J176" s="4"/>
    </row>
    <row r="177">
      <c r="E177" s="4"/>
      <c r="F177" s="6"/>
      <c r="G177" s="6"/>
      <c r="H177" s="6"/>
      <c r="I177" s="4"/>
      <c r="J177" s="4"/>
    </row>
    <row r="178">
      <c r="E178" s="4"/>
      <c r="F178" s="6"/>
      <c r="G178" s="6"/>
      <c r="H178" s="6"/>
      <c r="I178" s="4"/>
      <c r="J178" s="4"/>
    </row>
    <row r="179">
      <c r="E179" s="4"/>
      <c r="F179" s="6"/>
      <c r="G179" s="6"/>
      <c r="H179" s="6"/>
      <c r="I179" s="4"/>
      <c r="J179" s="4"/>
    </row>
    <row r="180">
      <c r="E180" s="4"/>
      <c r="F180" s="6"/>
      <c r="G180" s="6"/>
      <c r="H180" s="6"/>
      <c r="I180" s="4"/>
      <c r="J180" s="4"/>
    </row>
    <row r="181">
      <c r="E181" s="4"/>
      <c r="F181" s="6"/>
      <c r="G181" s="6"/>
      <c r="H181" s="6"/>
      <c r="I181" s="4"/>
      <c r="J181" s="4"/>
    </row>
    <row r="182">
      <c r="E182" s="4"/>
      <c r="F182" s="6"/>
      <c r="G182" s="6"/>
      <c r="H182" s="6"/>
      <c r="I182" s="4"/>
      <c r="J182" s="4"/>
    </row>
    <row r="183">
      <c r="E183" s="4"/>
      <c r="F183" s="6"/>
      <c r="G183" s="6"/>
      <c r="H183" s="6"/>
      <c r="I183" s="4"/>
      <c r="J183" s="4"/>
    </row>
    <row r="184">
      <c r="E184" s="4"/>
      <c r="F184" s="6"/>
      <c r="G184" s="6"/>
      <c r="H184" s="6"/>
      <c r="I184" s="4"/>
      <c r="J184" s="4"/>
    </row>
    <row r="185">
      <c r="E185" s="4"/>
      <c r="F185" s="6"/>
      <c r="G185" s="6"/>
      <c r="H185" s="6"/>
      <c r="I185" s="4"/>
      <c r="J185" s="4"/>
    </row>
    <row r="186">
      <c r="E186" s="4"/>
      <c r="F186" s="6"/>
      <c r="G186" s="6"/>
      <c r="H186" s="6"/>
      <c r="I186" s="4"/>
      <c r="J186" s="4"/>
    </row>
    <row r="187">
      <c r="E187" s="4"/>
      <c r="F187" s="6"/>
      <c r="G187" s="6"/>
      <c r="H187" s="6"/>
      <c r="I187" s="4"/>
      <c r="J187" s="4"/>
    </row>
    <row r="188">
      <c r="E188" s="4"/>
      <c r="F188" s="6"/>
      <c r="G188" s="6"/>
      <c r="H188" s="6"/>
      <c r="I188" s="4"/>
      <c r="J188" s="4"/>
    </row>
    <row r="189">
      <c r="E189" s="4"/>
      <c r="F189" s="6"/>
      <c r="G189" s="6"/>
      <c r="H189" s="6"/>
      <c r="I189" s="4"/>
      <c r="J189" s="4"/>
    </row>
    <row r="190">
      <c r="E190" s="4"/>
      <c r="F190" s="6"/>
      <c r="G190" s="6"/>
      <c r="H190" s="6"/>
      <c r="I190" s="4"/>
      <c r="J190" s="4"/>
    </row>
    <row r="191">
      <c r="E191" s="4"/>
      <c r="F191" s="6"/>
      <c r="G191" s="6"/>
      <c r="H191" s="6"/>
      <c r="I191" s="4"/>
      <c r="J191" s="4"/>
    </row>
    <row r="192">
      <c r="E192" s="4"/>
      <c r="F192" s="6"/>
      <c r="G192" s="6"/>
      <c r="H192" s="6"/>
      <c r="I192" s="4"/>
      <c r="J192" s="4"/>
    </row>
    <row r="193">
      <c r="E193" s="4"/>
      <c r="F193" s="6"/>
      <c r="G193" s="6"/>
      <c r="H193" s="6"/>
      <c r="I193" s="4"/>
      <c r="J193" s="4"/>
    </row>
    <row r="194">
      <c r="E194" s="4"/>
      <c r="F194" s="6"/>
      <c r="G194" s="6"/>
      <c r="H194" s="6"/>
      <c r="I194" s="4"/>
      <c r="J194" s="4"/>
    </row>
    <row r="195">
      <c r="E195" s="4"/>
      <c r="F195" s="6"/>
      <c r="G195" s="6"/>
      <c r="H195" s="6"/>
      <c r="I195" s="4"/>
      <c r="J195" s="4"/>
    </row>
    <row r="196">
      <c r="E196" s="4"/>
      <c r="F196" s="6"/>
      <c r="G196" s="6"/>
      <c r="H196" s="6"/>
      <c r="I196" s="4"/>
      <c r="J196" s="4"/>
    </row>
    <row r="197">
      <c r="E197" s="4"/>
      <c r="F197" s="6"/>
      <c r="G197" s="6"/>
      <c r="H197" s="6"/>
      <c r="I197" s="4"/>
      <c r="J197" s="4"/>
    </row>
    <row r="198">
      <c r="E198" s="4"/>
      <c r="F198" s="6"/>
      <c r="G198" s="6"/>
      <c r="H198" s="6"/>
      <c r="I198" s="4"/>
      <c r="J198" s="4"/>
    </row>
    <row r="199">
      <c r="E199" s="4"/>
      <c r="F199" s="6"/>
      <c r="G199" s="6"/>
      <c r="H199" s="6"/>
      <c r="I199" s="4"/>
      <c r="J199" s="4"/>
    </row>
    <row r="200">
      <c r="E200" s="4"/>
      <c r="F200" s="6"/>
      <c r="G200" s="6"/>
      <c r="H200" s="6"/>
      <c r="I200" s="4"/>
      <c r="J200" s="4"/>
    </row>
    <row r="201">
      <c r="E201" s="4"/>
      <c r="F201" s="6"/>
      <c r="G201" s="6"/>
      <c r="H201" s="6"/>
      <c r="I201" s="4"/>
      <c r="J201" s="4"/>
    </row>
    <row r="202">
      <c r="E202" s="4"/>
      <c r="F202" s="6"/>
      <c r="G202" s="6"/>
      <c r="H202" s="6"/>
      <c r="I202" s="4"/>
      <c r="J202" s="4"/>
    </row>
    <row r="203">
      <c r="E203" s="4"/>
      <c r="F203" s="6"/>
      <c r="G203" s="6"/>
      <c r="H203" s="6"/>
      <c r="I203" s="4"/>
      <c r="J203" s="4"/>
    </row>
    <row r="204">
      <c r="E204" s="4"/>
      <c r="F204" s="6"/>
      <c r="G204" s="6"/>
      <c r="H204" s="6"/>
      <c r="I204" s="4"/>
      <c r="J204" s="4"/>
    </row>
    <row r="205">
      <c r="E205" s="4"/>
      <c r="F205" s="6"/>
      <c r="G205" s="6"/>
      <c r="H205" s="6"/>
      <c r="I205" s="4"/>
      <c r="J205" s="4"/>
    </row>
    <row r="206">
      <c r="E206" s="4"/>
      <c r="F206" s="6"/>
      <c r="G206" s="6"/>
      <c r="H206" s="6"/>
      <c r="I206" s="4"/>
      <c r="J206" s="4"/>
    </row>
    <row r="207">
      <c r="E207" s="4"/>
      <c r="F207" s="6"/>
      <c r="G207" s="6"/>
      <c r="H207" s="6"/>
      <c r="I207" s="4"/>
      <c r="J207" s="4"/>
    </row>
    <row r="208">
      <c r="E208" s="4"/>
      <c r="F208" s="6"/>
      <c r="G208" s="6"/>
      <c r="H208" s="6"/>
      <c r="I208" s="4"/>
      <c r="J208" s="4"/>
    </row>
    <row r="209">
      <c r="E209" s="4"/>
      <c r="F209" s="6"/>
      <c r="G209" s="6"/>
      <c r="H209" s="6"/>
      <c r="I209" s="4"/>
      <c r="J209" s="4"/>
    </row>
    <row r="210">
      <c r="E210" s="4"/>
      <c r="F210" s="6"/>
      <c r="G210" s="6"/>
      <c r="H210" s="6"/>
      <c r="I210" s="4"/>
      <c r="J210" s="4"/>
    </row>
    <row r="211">
      <c r="E211" s="4"/>
      <c r="F211" s="6"/>
      <c r="G211" s="6"/>
      <c r="H211" s="6"/>
      <c r="I211" s="4"/>
      <c r="J211" s="4"/>
    </row>
    <row r="212">
      <c r="E212" s="4"/>
      <c r="F212" s="6"/>
      <c r="G212" s="6"/>
      <c r="H212" s="6"/>
      <c r="I212" s="4"/>
      <c r="J212" s="4"/>
    </row>
    <row r="213">
      <c r="E213" s="4"/>
      <c r="F213" s="6"/>
      <c r="G213" s="6"/>
      <c r="H213" s="6"/>
      <c r="I213" s="4"/>
      <c r="J213" s="4"/>
    </row>
    <row r="214">
      <c r="E214" s="4"/>
      <c r="F214" s="6"/>
      <c r="G214" s="6"/>
      <c r="H214" s="6"/>
      <c r="I214" s="4"/>
      <c r="J214" s="4"/>
    </row>
    <row r="215">
      <c r="E215" s="4"/>
      <c r="F215" s="6"/>
      <c r="G215" s="6"/>
      <c r="H215" s="6"/>
      <c r="I215" s="4"/>
      <c r="J215" s="4"/>
    </row>
    <row r="216">
      <c r="E216" s="4"/>
      <c r="F216" s="6"/>
      <c r="G216" s="6"/>
      <c r="H216" s="6"/>
      <c r="I216" s="4"/>
      <c r="J216" s="4"/>
    </row>
    <row r="217">
      <c r="E217" s="4"/>
      <c r="F217" s="6"/>
      <c r="G217" s="6"/>
      <c r="H217" s="6"/>
      <c r="I217" s="4"/>
      <c r="J217" s="4"/>
    </row>
    <row r="218">
      <c r="E218" s="4"/>
      <c r="F218" s="6"/>
      <c r="G218" s="6"/>
      <c r="H218" s="6"/>
      <c r="I218" s="4"/>
      <c r="J218" s="4"/>
    </row>
    <row r="219">
      <c r="E219" s="4"/>
      <c r="F219" s="6"/>
      <c r="G219" s="6"/>
      <c r="H219" s="6"/>
      <c r="I219" s="4"/>
      <c r="J219" s="4"/>
    </row>
    <row r="220">
      <c r="E220" s="4"/>
      <c r="F220" s="6"/>
      <c r="G220" s="6"/>
      <c r="H220" s="6"/>
      <c r="I220" s="4"/>
      <c r="J220" s="4"/>
    </row>
    <row r="221">
      <c r="E221" s="4"/>
      <c r="F221" s="6"/>
      <c r="G221" s="6"/>
      <c r="H221" s="6"/>
      <c r="I221" s="4"/>
      <c r="J221" s="4"/>
    </row>
    <row r="222">
      <c r="E222" s="4"/>
      <c r="F222" s="6"/>
      <c r="G222" s="6"/>
      <c r="H222" s="6"/>
      <c r="I222" s="4"/>
      <c r="J222" s="4"/>
    </row>
    <row r="223">
      <c r="E223" s="4"/>
      <c r="F223" s="6"/>
      <c r="G223" s="6"/>
      <c r="H223" s="6"/>
      <c r="I223" s="4"/>
      <c r="J223" s="4"/>
    </row>
  </sheetData>
  <dataValidations>
    <dataValidation type="custom" allowBlank="1" showDropDown="1" sqref="A2:A121">
      <formula1>OR(NOT(ISERROR(DATEVALUE(A2))), AND(ISNUMBER(A2), LEFT(CELL("format", A2))="D"))</formula1>
    </dataValidation>
    <dataValidation type="custom" allowBlank="1" showDropDown="1" sqref="F2:H121">
      <formula1>AND(ISNUMBER(F2),(NOT(OR(NOT(ISERROR(DATEVALUE(F2))), AND(ISNUMBER(F2), LEFT(CELL("format", F2))="D")))))</formula1>
    </dataValidation>
    <dataValidation type="list" allowBlank="1" sqref="D2:D121">
      <formula1>"ATX-List-Launch,ATX-Launch-Social,ATX-Search-Brand"</formula1>
    </dataValidation>
    <dataValidation type="list" allowBlank="1" sqref="C2:C121">
      <formula1>"Email,Facebook,Google Ads,Instagram"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6.38"/>
    <col customWidth="1" min="3" max="3" width="15.75"/>
    <col customWidth="1" min="5" max="5" width="16.88"/>
    <col customWidth="1" min="6" max="6" width="19.88"/>
    <col customWidth="1" min="8" max="8" width="18.63"/>
    <col customWidth="1" min="9" max="9" width="15.38"/>
  </cols>
  <sheetData>
    <row r="1">
      <c r="G1" s="2" t="s">
        <v>7</v>
      </c>
      <c r="H1" s="3" t="s">
        <v>8</v>
      </c>
      <c r="I1" s="3" t="s">
        <v>9</v>
      </c>
    </row>
    <row r="2">
      <c r="G2" s="9">
        <f t="shared" ref="G2:G5" si="1">F2/B2</f>
        <v>4</v>
      </c>
      <c r="H2" s="4">
        <f t="shared" ref="H2:H5" si="2">sum(B2)/sum(E2)</f>
        <v>24.4648318</v>
      </c>
      <c r="I2" s="11">
        <f t="shared" ref="I2:I5" si="3">sum(E2)/sum(D2)</f>
        <v>0.00613266818</v>
      </c>
    </row>
    <row r="3">
      <c r="G3" s="9">
        <f t="shared" si="1"/>
        <v>2.999995625</v>
      </c>
      <c r="H3" s="4">
        <f t="shared" si="2"/>
        <v>31.12844358</v>
      </c>
      <c r="I3" s="11">
        <f t="shared" si="3"/>
        <v>0.061132255</v>
      </c>
    </row>
    <row r="4">
      <c r="G4" s="9">
        <f t="shared" si="1"/>
        <v>5.10000125</v>
      </c>
      <c r="H4" s="4">
        <f t="shared" si="2"/>
        <v>18.69158879</v>
      </c>
      <c r="I4" s="15">
        <f t="shared" si="3"/>
        <v>0.1661490683</v>
      </c>
    </row>
    <row r="5">
      <c r="G5" s="17">
        <f t="shared" si="1"/>
        <v>6.200002875</v>
      </c>
      <c r="H5" s="19">
        <f t="shared" si="2"/>
        <v>14.98828571</v>
      </c>
      <c r="I5" s="11">
        <f t="shared" si="3"/>
        <v>0.1602852853</v>
      </c>
    </row>
    <row r="6">
      <c r="G6" s="9"/>
      <c r="I6" s="11"/>
    </row>
    <row r="7">
      <c r="G7" s="9"/>
      <c r="I7" s="11"/>
    </row>
    <row r="8">
      <c r="G8" s="9"/>
      <c r="I8" s="11"/>
    </row>
    <row r="9">
      <c r="G9" s="9"/>
      <c r="I9" s="11"/>
    </row>
    <row r="10">
      <c r="I10" s="11"/>
    </row>
  </sheetData>
  <drawing r:id="rId2"/>
</worksheet>
</file>